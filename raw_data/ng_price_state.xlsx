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GitHub/LCOH/raw_data/"/>
    </mc:Choice>
  </mc:AlternateContent>
  <xr:revisionPtr revIDLastSave="0" documentId="8_{9CC95DAD-5F95-8246-B288-6ECDF4EB63A3}" xr6:coauthVersionLast="47" xr6:coauthVersionMax="47" xr10:uidLastSave="{00000000-0000-0000-0000-000000000000}"/>
  <bookViews>
    <workbookView xWindow="0" yWindow="500" windowWidth="51200" windowHeight="26280" xr2:uid="{5324D23C-F4A8-1042-9C52-5AF7048E7E4D}"/>
  </bookViews>
  <sheets>
    <sheet name="Sheet1" sheetId="1" r:id="rId1"/>
  </sheets>
  <definedNames>
    <definedName name="_xlnm._FilterDatabase" localSheetId="0" hidden="1">Sheet1!$A$1:$A$52</definedName>
  </definedNames>
  <calcPr calcId="18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5" i="1"/>
  <c r="AD6" i="1"/>
  <c r="AD7" i="1"/>
  <c r="AD8" i="1"/>
  <c r="AD9" i="1"/>
  <c r="AD11" i="1"/>
  <c r="AD12" i="1"/>
  <c r="AD13" i="1"/>
  <c r="AD14" i="1"/>
  <c r="AD15" i="1"/>
  <c r="AD16" i="1"/>
  <c r="AD17" i="1"/>
  <c r="AD19" i="1"/>
  <c r="AD20" i="1"/>
  <c r="AD21" i="1"/>
  <c r="AD22" i="1"/>
  <c r="AD23" i="1"/>
  <c r="AD24" i="1"/>
  <c r="AD26" i="1"/>
  <c r="AD27" i="1"/>
  <c r="AD28" i="1"/>
  <c r="AD29" i="1"/>
  <c r="AD30" i="1"/>
  <c r="AD31" i="1"/>
  <c r="AD32" i="1"/>
  <c r="AD34" i="1"/>
  <c r="AD35" i="1"/>
  <c r="AD36" i="1"/>
  <c r="AD37" i="1"/>
  <c r="AD38" i="1"/>
  <c r="AD40" i="1"/>
  <c r="AD42" i="1"/>
  <c r="AD43" i="1"/>
  <c r="AD45" i="1"/>
  <c r="AD46" i="1"/>
  <c r="AD47" i="1"/>
  <c r="AD48" i="1"/>
  <c r="AD49" i="1"/>
  <c r="AD50" i="1"/>
  <c r="AD51" i="1"/>
  <c r="AD52" i="1"/>
  <c r="AD2" i="1"/>
  <c r="AB53" i="1"/>
  <c r="AD53" i="1" s="1"/>
  <c r="AC53" i="1"/>
  <c r="AD3" i="1" l="1"/>
  <c r="AD33" i="1"/>
  <c r="AD41" i="1"/>
  <c r="AD44" i="1"/>
  <c r="AD18" i="1"/>
  <c r="AD10" i="1"/>
  <c r="AD25" i="1"/>
  <c r="AD39" i="1"/>
</calcChain>
</file>

<file path=xl/sharedStrings.xml><?xml version="1.0" encoding="utf-8"?>
<sst xmlns="http://schemas.openxmlformats.org/spreadsheetml/2006/main" count="53" uniqueCount="53">
  <si>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</si>
  <si>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</si>
  <si>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</si>
  <si>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</si>
  <si>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</si>
  <si>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</si>
  <si>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</si>
  <si>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</si>
  <si>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</si>
  <si>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</si>
  <si>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</si>
  <si>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</si>
  <si>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</si>
  <si>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</si>
  <si>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</si>
  <si>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</si>
  <si>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</si>
  <si>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</si>
  <si>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</si>
  <si>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</si>
  <si>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</si>
  <si>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</si>
  <si>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</si>
  <si>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</si>
  <si>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</si>
  <si>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</si>
  <si>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</si>
  <si>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</si>
  <si>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</si>
  <si>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</si>
  <si>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</si>
  <si>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</si>
  <si>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</si>
  <si>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</si>
  <si>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</si>
  <si>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</si>
  <si>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</si>
  <si>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</si>
  <si>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</si>
  <si>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</si>
  <si>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</si>
  <si>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</si>
  <si>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</si>
  <si>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</si>
  <si>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</si>
  <si>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</si>
  <si>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</si>
  <si>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</si>
  <si>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</si>
  <si>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</si>
  <si>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Nevada</t>
  </si>
  <si>
    <t>State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</si>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</sst>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D4E7-5461-4944-8901-3FA54EE76877}">
  <dimension ref="A1:AD53"/>
  <sheetViews>
    <sheetView tabSelected="1" workbookViewId="0">
      <selection activeCell="T18" sqref="T18"/>
    </sheetView>
  </sheetViews>
  <sheetFormatPr baseColWidth="10" defaultRowHeight="16" x14ac:dyDescent="0.2"/>
  <cols>
    <col min="1" max="1" width="69.33203125" bestFit="1" customWidth="1"/>
  </cols>
  <sheetData>
    <row r="1" spans="1:30" x14ac:dyDescent="0.2">
      <c r="A1" t="s">
        <v>51</v>
      </c>
      <c r="B1">
        <v>1997</v>
      </c>
      <c r="C1">
        <v>1998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 t="s">
        <v>52</v>
      </c>
    </row>
    <row r="2" spans="1:30" x14ac:dyDescent="0.2">
      <c r="A2" t="s">
        <v>0</v>
      </c>
      <c r="B2">
        <v>3.59</v>
      </c>
      <c r="C2">
        <v>3.14</v>
      </c>
      <c r="D2">
        <v>3.12</v>
      </c>
      <c r="E2">
        <v>4.45</v>
      </c>
      <c r="F2">
        <v>5.24</v>
      </c>
      <c r="G2">
        <v>4.0199999999999996</v>
      </c>
      <c r="H2">
        <v>5.89</v>
      </c>
      <c r="I2">
        <v>6.53</v>
      </c>
      <c r="J2">
        <v>8.56</v>
      </c>
      <c r="K2">
        <v>7.87</v>
      </c>
      <c r="L2">
        <v>7.68</v>
      </c>
      <c r="M2">
        <v>9.65</v>
      </c>
      <c r="N2">
        <v>5.33</v>
      </c>
      <c r="O2">
        <v>5.49</v>
      </c>
      <c r="P2">
        <v>5.13</v>
      </c>
      <c r="Q2">
        <v>3.88</v>
      </c>
      <c r="R2">
        <v>4.6399999999999997</v>
      </c>
      <c r="S2">
        <v>5.62</v>
      </c>
      <c r="T2">
        <v>3.93</v>
      </c>
      <c r="U2">
        <v>3.51</v>
      </c>
      <c r="V2">
        <v>4.08</v>
      </c>
      <c r="W2">
        <v>4.1900000000000004</v>
      </c>
      <c r="X2">
        <v>3.9</v>
      </c>
      <c r="Y2">
        <v>3.32</v>
      </c>
      <c r="Z2">
        <v>5.44</v>
      </c>
      <c r="AA2">
        <v>7.69</v>
      </c>
      <c r="AB2">
        <v>4.53</v>
      </c>
      <c r="AC2">
        <v>3.93</v>
      </c>
      <c r="AD2" s="1">
        <f>IF(AC2="",AB2-$AD$53,AC2)</f>
        <v>3.93</v>
      </c>
    </row>
    <row r="3" spans="1:30" x14ac:dyDescent="0.2">
      <c r="A3" t="s">
        <v>1</v>
      </c>
      <c r="B3">
        <v>3.65</v>
      </c>
      <c r="C3">
        <v>3.3</v>
      </c>
      <c r="D3">
        <v>3.42</v>
      </c>
      <c r="E3">
        <v>4.47</v>
      </c>
      <c r="F3">
        <v>6.33</v>
      </c>
      <c r="G3">
        <v>5.24</v>
      </c>
      <c r="H3">
        <v>6.65</v>
      </c>
      <c r="I3">
        <v>7.35</v>
      </c>
      <c r="J3">
        <v>9.51</v>
      </c>
      <c r="K3">
        <v>9.4600000000000009</v>
      </c>
      <c r="L3">
        <v>8.6999999999999993</v>
      </c>
      <c r="M3">
        <v>10.57</v>
      </c>
      <c r="N3">
        <v>6.48</v>
      </c>
      <c r="O3">
        <v>6.64</v>
      </c>
      <c r="P3">
        <v>5.57</v>
      </c>
      <c r="Q3">
        <v>4.3499999999999996</v>
      </c>
      <c r="R3">
        <v>4.9800000000000004</v>
      </c>
      <c r="S3">
        <v>5.49</v>
      </c>
      <c r="T3">
        <v>4.09</v>
      </c>
      <c r="U3">
        <v>3.79</v>
      </c>
      <c r="V3">
        <v>4.2300000000000004</v>
      </c>
      <c r="W3">
        <v>4.22</v>
      </c>
      <c r="X3">
        <v>3.95</v>
      </c>
      <c r="Y3">
        <v>3.54</v>
      </c>
      <c r="Z3">
        <v>4.8600000000000003</v>
      </c>
      <c r="AA3">
        <v>7.87</v>
      </c>
      <c r="AB3">
        <v>4.53</v>
      </c>
      <c r="AD3" s="1">
        <f>IF(AC3="",AB3-$AD$53,AC3)</f>
        <v>3.4465389876880979</v>
      </c>
    </row>
    <row r="4" spans="1:30" x14ac:dyDescent="0.2">
      <c r="A4" t="s">
        <v>2</v>
      </c>
      <c r="B4">
        <v>1.54</v>
      </c>
      <c r="C4">
        <v>1.34</v>
      </c>
      <c r="D4">
        <v>1.25</v>
      </c>
      <c r="E4">
        <v>1.51</v>
      </c>
      <c r="F4">
        <v>1.66</v>
      </c>
      <c r="G4">
        <v>1.63</v>
      </c>
      <c r="H4">
        <v>1.52</v>
      </c>
      <c r="I4">
        <v>1.94</v>
      </c>
      <c r="J4">
        <v>2.59</v>
      </c>
      <c r="K4">
        <v>3.84</v>
      </c>
      <c r="L4">
        <v>4.67</v>
      </c>
      <c r="M4">
        <v>5.49</v>
      </c>
      <c r="N4">
        <v>4.0199999999999996</v>
      </c>
      <c r="O4">
        <v>4.2300000000000004</v>
      </c>
      <c r="P4">
        <v>3.84</v>
      </c>
      <c r="Q4">
        <v>5.1100000000000003</v>
      </c>
      <c r="R4">
        <v>8.16</v>
      </c>
      <c r="S4">
        <v>7.97</v>
      </c>
      <c r="T4">
        <v>6.86</v>
      </c>
      <c r="U4">
        <v>5.0599999999999996</v>
      </c>
      <c r="V4">
        <v>4.63</v>
      </c>
      <c r="W4">
        <v>5.81</v>
      </c>
      <c r="X4">
        <v>5.85</v>
      </c>
      <c r="Y4">
        <v>4.83</v>
      </c>
      <c r="Z4">
        <v>5.2</v>
      </c>
      <c r="AA4">
        <v>6.72</v>
      </c>
      <c r="AB4">
        <v>6.53</v>
      </c>
      <c r="AC4">
        <v>6.35</v>
      </c>
      <c r="AD4" s="1">
        <f>IF(AC4="",AB4-$AD$53,AC4)</f>
        <v>6.35</v>
      </c>
    </row>
    <row r="5" spans="1:30" x14ac:dyDescent="0.2">
      <c r="A5" t="s">
        <v>3</v>
      </c>
      <c r="B5">
        <v>3.6</v>
      </c>
      <c r="C5">
        <v>3.26</v>
      </c>
      <c r="D5">
        <v>3.42</v>
      </c>
      <c r="E5">
        <v>4.79</v>
      </c>
      <c r="F5">
        <v>6.23</v>
      </c>
      <c r="G5">
        <v>6.49</v>
      </c>
      <c r="H5">
        <v>6.54</v>
      </c>
      <c r="I5">
        <v>6.91</v>
      </c>
      <c r="J5">
        <v>8.5299999999999994</v>
      </c>
      <c r="K5">
        <v>9.9</v>
      </c>
      <c r="L5">
        <v>10.49</v>
      </c>
      <c r="M5">
        <v>10.47</v>
      </c>
      <c r="N5">
        <v>8.19</v>
      </c>
      <c r="O5">
        <v>7.54</v>
      </c>
      <c r="P5">
        <v>6.86</v>
      </c>
      <c r="Q5">
        <v>5.78</v>
      </c>
      <c r="R5">
        <v>6.29</v>
      </c>
      <c r="S5">
        <v>7.52</v>
      </c>
      <c r="T5">
        <v>6.78</v>
      </c>
      <c r="U5">
        <v>5.79</v>
      </c>
      <c r="V5">
        <v>6.47</v>
      </c>
      <c r="W5">
        <v>5.98</v>
      </c>
      <c r="X5">
        <v>4.12</v>
      </c>
      <c r="Y5">
        <v>3.94</v>
      </c>
      <c r="Z5">
        <v>6.41</v>
      </c>
      <c r="AA5">
        <v>7.48</v>
      </c>
      <c r="AB5">
        <v>6.94</v>
      </c>
      <c r="AC5">
        <v>5.37</v>
      </c>
      <c r="AD5" s="1">
        <f>IF(AC5="",AB5-$AD$53,AC5)</f>
        <v>5.37</v>
      </c>
    </row>
    <row r="6" spans="1:30" x14ac:dyDescent="0.2">
      <c r="A6" t="s">
        <v>4</v>
      </c>
      <c r="B6">
        <v>3.71</v>
      </c>
      <c r="C6">
        <v>3.48</v>
      </c>
      <c r="D6">
        <v>3.45</v>
      </c>
      <c r="E6">
        <v>5.23</v>
      </c>
      <c r="F6">
        <v>6.38</v>
      </c>
      <c r="G6">
        <v>5.64</v>
      </c>
      <c r="H6">
        <v>6.94</v>
      </c>
      <c r="I6">
        <v>8.0299999999999994</v>
      </c>
      <c r="J6">
        <v>9.44</v>
      </c>
      <c r="K6">
        <v>9.51</v>
      </c>
      <c r="L6">
        <v>9.51</v>
      </c>
      <c r="M6">
        <v>10.56</v>
      </c>
      <c r="N6">
        <v>8.44</v>
      </c>
      <c r="O6">
        <v>7.28</v>
      </c>
      <c r="P6">
        <v>7.44</v>
      </c>
      <c r="Q6">
        <v>6.38</v>
      </c>
      <c r="R6">
        <v>6.74</v>
      </c>
      <c r="S6">
        <v>6.99</v>
      </c>
      <c r="T6">
        <v>6.91</v>
      </c>
      <c r="U6">
        <v>5.78</v>
      </c>
      <c r="V6">
        <v>6.65</v>
      </c>
      <c r="W6">
        <v>6.78</v>
      </c>
      <c r="X6">
        <v>6.25</v>
      </c>
      <c r="Y6">
        <v>6.25</v>
      </c>
      <c r="Z6">
        <v>7.76</v>
      </c>
      <c r="AA6">
        <v>10.46</v>
      </c>
      <c r="AB6">
        <v>9.4499999999999993</v>
      </c>
      <c r="AC6">
        <v>7.58</v>
      </c>
      <c r="AD6" s="1">
        <f>IF(AC6="",AB6-$AD$53,AC6)</f>
        <v>7.58</v>
      </c>
    </row>
    <row r="7" spans="1:30" x14ac:dyDescent="0.2">
      <c r="A7" t="s">
        <v>5</v>
      </c>
      <c r="B7">
        <v>4.18</v>
      </c>
      <c r="C7">
        <v>3.75</v>
      </c>
      <c r="D7">
        <v>3.33</v>
      </c>
      <c r="E7">
        <v>5.29</v>
      </c>
      <c r="F7">
        <v>6.6</v>
      </c>
      <c r="G7">
        <v>4.93</v>
      </c>
      <c r="H7">
        <v>7.19</v>
      </c>
      <c r="I7">
        <v>7.89</v>
      </c>
      <c r="J7">
        <v>9.84</v>
      </c>
      <c r="K7">
        <v>9.3000000000000007</v>
      </c>
      <c r="L7">
        <v>9.07</v>
      </c>
      <c r="M7">
        <v>10.8</v>
      </c>
      <c r="N7">
        <v>6.56</v>
      </c>
      <c r="O7">
        <v>7.02</v>
      </c>
      <c r="P7">
        <v>7.04</v>
      </c>
      <c r="Q7">
        <v>5.77</v>
      </c>
      <c r="R7">
        <v>6.57</v>
      </c>
      <c r="S7">
        <v>7.65</v>
      </c>
      <c r="T7">
        <v>6.41</v>
      </c>
      <c r="U7">
        <v>6.79</v>
      </c>
      <c r="V7">
        <v>7.05</v>
      </c>
      <c r="W7">
        <v>7.12</v>
      </c>
      <c r="X7">
        <v>7.69</v>
      </c>
      <c r="Y7">
        <v>7.55</v>
      </c>
      <c r="Z7">
        <v>9.75</v>
      </c>
      <c r="AA7">
        <v>13.73</v>
      </c>
      <c r="AB7">
        <v>14.07</v>
      </c>
      <c r="AC7">
        <v>11.38</v>
      </c>
      <c r="AD7" s="1">
        <f>IF(AC7="",AB7-$AD$53,AC7)</f>
        <v>11.38</v>
      </c>
    </row>
    <row r="8" spans="1:30" x14ac:dyDescent="0.2">
      <c r="A8" t="s">
        <v>6</v>
      </c>
      <c r="B8">
        <v>3.02</v>
      </c>
      <c r="C8">
        <v>2.5499999999999998</v>
      </c>
      <c r="D8">
        <v>3.08</v>
      </c>
      <c r="E8">
        <v>4.68</v>
      </c>
      <c r="F8">
        <v>6.59</v>
      </c>
      <c r="G8">
        <v>4.79</v>
      </c>
      <c r="H8">
        <v>4.46</v>
      </c>
      <c r="I8">
        <v>6.54</v>
      </c>
      <c r="J8">
        <v>8.68</v>
      </c>
      <c r="K8">
        <v>11.53</v>
      </c>
      <c r="L8">
        <v>7.21</v>
      </c>
      <c r="M8">
        <v>8.76</v>
      </c>
      <c r="N8">
        <v>6.57</v>
      </c>
      <c r="O8">
        <v>5.84</v>
      </c>
      <c r="P8">
        <v>6.42</v>
      </c>
      <c r="Q8">
        <v>5.79</v>
      </c>
      <c r="R8">
        <v>5.9</v>
      </c>
      <c r="S8">
        <v>6.84</v>
      </c>
      <c r="T8">
        <v>5.74</v>
      </c>
      <c r="U8">
        <v>4.8899999999999997</v>
      </c>
      <c r="V8">
        <v>5.58</v>
      </c>
      <c r="W8">
        <v>5.28</v>
      </c>
      <c r="X8">
        <v>5.36</v>
      </c>
      <c r="Y8">
        <v>4.95</v>
      </c>
      <c r="Z8">
        <v>7.13</v>
      </c>
      <c r="AA8">
        <v>10.119999999999999</v>
      </c>
      <c r="AB8">
        <v>8.49</v>
      </c>
      <c r="AC8">
        <v>7.59</v>
      </c>
      <c r="AD8" s="1">
        <f>IF(AC8="",AB8-$AD$53,AC8)</f>
        <v>7.59</v>
      </c>
    </row>
    <row r="9" spans="1:30" x14ac:dyDescent="0.2">
      <c r="A9" t="s">
        <v>7</v>
      </c>
      <c r="B9">
        <v>4.7300000000000004</v>
      </c>
      <c r="C9">
        <v>4.34</v>
      </c>
      <c r="D9">
        <v>4.1500000000000004</v>
      </c>
      <c r="E9">
        <v>5.95</v>
      </c>
      <c r="F9">
        <v>6.77</v>
      </c>
      <c r="G9">
        <v>4.97</v>
      </c>
      <c r="H9">
        <v>7.52</v>
      </c>
      <c r="I9">
        <v>9.32</v>
      </c>
      <c r="J9">
        <v>11.68</v>
      </c>
      <c r="K9">
        <v>10.86</v>
      </c>
      <c r="L9">
        <v>10.54</v>
      </c>
      <c r="M9">
        <v>12.63</v>
      </c>
      <c r="N9">
        <v>8.44</v>
      </c>
      <c r="O9">
        <v>9.6</v>
      </c>
      <c r="P9">
        <v>9.16</v>
      </c>
      <c r="Q9">
        <v>8.83</v>
      </c>
      <c r="R9">
        <v>6.85</v>
      </c>
      <c r="S9">
        <v>8.07</v>
      </c>
      <c r="T9">
        <v>6.35</v>
      </c>
      <c r="U9">
        <v>6.07</v>
      </c>
      <c r="V9">
        <v>6.48</v>
      </c>
      <c r="W9">
        <v>6.55</v>
      </c>
      <c r="X9">
        <v>6.82</v>
      </c>
      <c r="Y9">
        <v>6.25</v>
      </c>
      <c r="Z9">
        <v>7.63</v>
      </c>
      <c r="AA9">
        <v>10.37</v>
      </c>
      <c r="AB9">
        <v>8.68</v>
      </c>
      <c r="AC9">
        <v>6.8</v>
      </c>
      <c r="AD9" s="1">
        <f>IF(AC9="",AB9-$AD$53,AC9)</f>
        <v>6.8</v>
      </c>
    </row>
    <row r="10" spans="1:30" x14ac:dyDescent="0.2">
      <c r="A10" t="s">
        <v>8</v>
      </c>
      <c r="B10">
        <v>4.4000000000000004</v>
      </c>
      <c r="C10">
        <v>4.13</v>
      </c>
      <c r="D10">
        <v>4.07</v>
      </c>
      <c r="E10">
        <v>5.03</v>
      </c>
      <c r="F10">
        <v>6.85</v>
      </c>
      <c r="G10">
        <v>6.16</v>
      </c>
      <c r="H10">
        <v>6.37</v>
      </c>
      <c r="I10">
        <v>7.72</v>
      </c>
      <c r="J10">
        <v>10.86</v>
      </c>
      <c r="K10">
        <v>11.94</v>
      </c>
      <c r="L10">
        <v>8.93</v>
      </c>
      <c r="M10">
        <v>12.54</v>
      </c>
      <c r="N10">
        <v>13.99</v>
      </c>
      <c r="O10">
        <v>10.18</v>
      </c>
      <c r="P10">
        <v>11.69</v>
      </c>
      <c r="Q10">
        <v>11.61</v>
      </c>
      <c r="R10">
        <v>11.24</v>
      </c>
      <c r="S10">
        <v>10.95</v>
      </c>
      <c r="T10">
        <v>10.11</v>
      </c>
      <c r="U10">
        <v>9.02</v>
      </c>
      <c r="V10">
        <v>9.91</v>
      </c>
      <c r="W10">
        <v>10.07</v>
      </c>
      <c r="X10">
        <v>9.67</v>
      </c>
      <c r="Y10">
        <v>10.78</v>
      </c>
      <c r="Z10">
        <v>11.59</v>
      </c>
      <c r="AA10">
        <v>12.05</v>
      </c>
      <c r="AB10">
        <v>13.71</v>
      </c>
      <c r="AD10" s="1">
        <f>IF(AC10="",AB10-$AD$53,AC10)</f>
        <v>12.626538987688098</v>
      </c>
    </row>
    <row r="11" spans="1:30" x14ac:dyDescent="0.2">
      <c r="A11" t="s">
        <v>9</v>
      </c>
      <c r="B11">
        <v>4.41</v>
      </c>
      <c r="C11">
        <v>3.98</v>
      </c>
      <c r="D11">
        <v>4.12</v>
      </c>
      <c r="E11">
        <v>5.93</v>
      </c>
      <c r="F11">
        <v>6.98</v>
      </c>
      <c r="G11">
        <v>5.35</v>
      </c>
      <c r="H11">
        <v>6.82</v>
      </c>
      <c r="I11">
        <v>8.2200000000000006</v>
      </c>
      <c r="J11">
        <v>9.48</v>
      </c>
      <c r="K11">
        <v>11.66</v>
      </c>
      <c r="L11">
        <v>10.56</v>
      </c>
      <c r="M11">
        <v>11.72</v>
      </c>
      <c r="N11">
        <v>9.41</v>
      </c>
      <c r="O11">
        <v>8.33</v>
      </c>
      <c r="P11">
        <v>8.07</v>
      </c>
      <c r="Q11">
        <v>6.96</v>
      </c>
      <c r="R11">
        <v>6.77</v>
      </c>
      <c r="S11">
        <v>6.89</v>
      </c>
      <c r="T11">
        <v>6.43</v>
      </c>
      <c r="U11">
        <v>5.77</v>
      </c>
      <c r="V11">
        <v>6.17</v>
      </c>
      <c r="W11">
        <v>6.38</v>
      </c>
      <c r="X11">
        <v>6.16</v>
      </c>
      <c r="Y11">
        <v>5.55</v>
      </c>
      <c r="Z11">
        <v>6.31</v>
      </c>
      <c r="AA11">
        <v>9.3800000000000008</v>
      </c>
      <c r="AB11">
        <v>7.17</v>
      </c>
      <c r="AC11">
        <v>4.67</v>
      </c>
      <c r="AD11" s="1">
        <f>IF(AC11="",AB11-$AD$53,AC11)</f>
        <v>4.67</v>
      </c>
    </row>
    <row r="12" spans="1:30" x14ac:dyDescent="0.2">
      <c r="A12" t="s">
        <v>10</v>
      </c>
      <c r="B12">
        <v>4.55</v>
      </c>
      <c r="C12">
        <v>3.92</v>
      </c>
      <c r="D12">
        <v>3.41</v>
      </c>
      <c r="E12">
        <v>4.83</v>
      </c>
      <c r="F12">
        <v>5.89</v>
      </c>
      <c r="G12">
        <v>4.8499999999999996</v>
      </c>
      <c r="H12">
        <v>6.77</v>
      </c>
      <c r="I12">
        <v>7.53</v>
      </c>
      <c r="J12">
        <v>10.29</v>
      </c>
      <c r="K12">
        <v>9.51</v>
      </c>
      <c r="L12">
        <v>8.86</v>
      </c>
      <c r="M12">
        <v>11.02</v>
      </c>
      <c r="N12">
        <v>6.21</v>
      </c>
      <c r="O12">
        <v>6.25</v>
      </c>
      <c r="P12">
        <v>5.9</v>
      </c>
      <c r="Q12">
        <v>4.6100000000000003</v>
      </c>
      <c r="R12">
        <v>5.38</v>
      </c>
      <c r="S12">
        <v>6.07</v>
      </c>
      <c r="T12">
        <v>4.42</v>
      </c>
      <c r="U12">
        <v>4.13</v>
      </c>
      <c r="V12">
        <v>4.6500000000000004</v>
      </c>
      <c r="W12">
        <v>4.63</v>
      </c>
      <c r="X12">
        <v>4.2300000000000004</v>
      </c>
      <c r="Y12">
        <v>3.85</v>
      </c>
      <c r="Z12">
        <v>5.44</v>
      </c>
      <c r="AA12">
        <v>8.9700000000000006</v>
      </c>
      <c r="AB12">
        <v>5.36</v>
      </c>
      <c r="AC12">
        <v>4.7699999999999996</v>
      </c>
      <c r="AD12" s="1">
        <f>IF(AC12="",AB12-$AD$53,AC12)</f>
        <v>4.7699999999999996</v>
      </c>
    </row>
    <row r="13" spans="1:30" x14ac:dyDescent="0.2">
      <c r="A13" t="s">
        <v>11</v>
      </c>
      <c r="B13">
        <v>10.79</v>
      </c>
      <c r="C13">
        <v>8.64</v>
      </c>
      <c r="D13">
        <v>8.2100000000000009</v>
      </c>
      <c r="E13">
        <v>10.17</v>
      </c>
      <c r="F13">
        <v>11.11</v>
      </c>
      <c r="G13">
        <v>10.17</v>
      </c>
      <c r="H13">
        <v>11.82</v>
      </c>
      <c r="I13">
        <v>13.22</v>
      </c>
      <c r="J13">
        <v>16.41</v>
      </c>
      <c r="K13">
        <v>18.489999999999998</v>
      </c>
      <c r="L13">
        <v>18.66</v>
      </c>
      <c r="M13">
        <v>26.74</v>
      </c>
      <c r="N13">
        <v>19.05</v>
      </c>
      <c r="O13">
        <v>24.1</v>
      </c>
      <c r="P13">
        <v>29.8</v>
      </c>
      <c r="Q13">
        <v>30.89</v>
      </c>
      <c r="R13">
        <v>27.56</v>
      </c>
      <c r="S13">
        <v>26.75</v>
      </c>
      <c r="T13">
        <v>19.03</v>
      </c>
      <c r="U13">
        <v>17.739999999999998</v>
      </c>
      <c r="V13">
        <v>19.62</v>
      </c>
      <c r="W13">
        <v>22.62</v>
      </c>
      <c r="X13">
        <v>22.93</v>
      </c>
      <c r="Y13">
        <v>20.54</v>
      </c>
      <c r="Z13">
        <v>25.1</v>
      </c>
      <c r="AA13">
        <v>34.619999999999997</v>
      </c>
      <c r="AB13">
        <v>28.48</v>
      </c>
      <c r="AC13">
        <v>28.35</v>
      </c>
      <c r="AD13" s="1">
        <f>IF(AC13="",AB13-$AD$53,AC13)</f>
        <v>28.35</v>
      </c>
    </row>
    <row r="14" spans="1:30" x14ac:dyDescent="0.2">
      <c r="A14" t="s">
        <v>12</v>
      </c>
      <c r="B14">
        <v>2.76</v>
      </c>
      <c r="C14">
        <v>3.09</v>
      </c>
      <c r="D14">
        <v>3.29</v>
      </c>
      <c r="E14">
        <v>4.0199999999999996</v>
      </c>
      <c r="F14">
        <v>6.43</v>
      </c>
      <c r="G14">
        <v>6.9</v>
      </c>
      <c r="H14">
        <v>5.9</v>
      </c>
      <c r="I14">
        <v>6.97</v>
      </c>
      <c r="J14">
        <v>8.39</v>
      </c>
      <c r="K14">
        <v>10.050000000000001</v>
      </c>
      <c r="L14">
        <v>9.39</v>
      </c>
      <c r="M14">
        <v>9.18</v>
      </c>
      <c r="N14">
        <v>8.5299999999999994</v>
      </c>
      <c r="O14">
        <v>6.39</v>
      </c>
      <c r="P14">
        <v>6.36</v>
      </c>
      <c r="Q14">
        <v>5.73</v>
      </c>
      <c r="R14">
        <v>5.47</v>
      </c>
      <c r="S14">
        <v>5.96</v>
      </c>
      <c r="T14">
        <v>5.72</v>
      </c>
      <c r="U14">
        <v>5.19</v>
      </c>
      <c r="V14">
        <v>4.4400000000000004</v>
      </c>
      <c r="W14">
        <v>3.98</v>
      </c>
      <c r="X14">
        <v>3.6</v>
      </c>
      <c r="Y14">
        <v>3.67</v>
      </c>
      <c r="Z14">
        <v>3.88</v>
      </c>
      <c r="AA14">
        <v>5.0599999999999996</v>
      </c>
      <c r="AB14">
        <v>6.65</v>
      </c>
      <c r="AC14">
        <v>5.08</v>
      </c>
      <c r="AD14" s="1">
        <f>IF(AC14="",AB14-$AD$53,AC14)</f>
        <v>5.08</v>
      </c>
    </row>
    <row r="15" spans="1:30" x14ac:dyDescent="0.2">
      <c r="A15" t="s">
        <v>13</v>
      </c>
      <c r="B15">
        <v>3.97</v>
      </c>
      <c r="C15">
        <v>3.96</v>
      </c>
      <c r="D15">
        <v>4.0599999999999996</v>
      </c>
      <c r="E15">
        <v>5.85</v>
      </c>
      <c r="F15">
        <v>6.88</v>
      </c>
      <c r="G15">
        <v>4.97</v>
      </c>
      <c r="H15">
        <v>7.23</v>
      </c>
      <c r="I15">
        <v>8.07</v>
      </c>
      <c r="J15">
        <v>10.01</v>
      </c>
      <c r="K15">
        <v>9.44</v>
      </c>
      <c r="L15">
        <v>9</v>
      </c>
      <c r="M15">
        <v>10.58</v>
      </c>
      <c r="N15">
        <v>7.31</v>
      </c>
      <c r="O15">
        <v>7.13</v>
      </c>
      <c r="P15">
        <v>6.84</v>
      </c>
      <c r="Q15">
        <v>5.63</v>
      </c>
      <c r="R15">
        <v>6</v>
      </c>
      <c r="S15">
        <v>7.75</v>
      </c>
      <c r="T15">
        <v>5.47</v>
      </c>
      <c r="U15">
        <v>5.03</v>
      </c>
      <c r="V15">
        <v>5.76</v>
      </c>
      <c r="W15">
        <v>5.55</v>
      </c>
      <c r="X15">
        <v>5.17</v>
      </c>
      <c r="Y15">
        <v>4.26</v>
      </c>
      <c r="Z15">
        <v>7.57</v>
      </c>
      <c r="AA15">
        <v>9.17</v>
      </c>
      <c r="AB15">
        <v>7.49</v>
      </c>
      <c r="AC15">
        <v>6.54</v>
      </c>
      <c r="AD15" s="1">
        <f>IF(AC15="",AB15-$AD$53,AC15)</f>
        <v>6.54</v>
      </c>
    </row>
    <row r="16" spans="1:30" x14ac:dyDescent="0.2">
      <c r="A16" t="s">
        <v>14</v>
      </c>
      <c r="B16">
        <v>4.33</v>
      </c>
      <c r="C16">
        <v>4.28</v>
      </c>
      <c r="D16">
        <v>4.16</v>
      </c>
      <c r="E16">
        <v>5</v>
      </c>
      <c r="F16">
        <v>8.14</v>
      </c>
      <c r="G16">
        <v>5.48</v>
      </c>
      <c r="H16">
        <v>8.34</v>
      </c>
      <c r="I16">
        <v>7.99</v>
      </c>
      <c r="J16">
        <v>10.06</v>
      </c>
      <c r="K16">
        <v>9.3699999999999992</v>
      </c>
      <c r="L16">
        <v>8.4499999999999993</v>
      </c>
      <c r="M16">
        <v>10.48</v>
      </c>
      <c r="N16">
        <v>6.91</v>
      </c>
      <c r="O16">
        <v>5.65</v>
      </c>
      <c r="P16">
        <v>6.53</v>
      </c>
      <c r="Q16">
        <v>6.19</v>
      </c>
      <c r="R16">
        <v>6.54</v>
      </c>
      <c r="S16">
        <v>7.32</v>
      </c>
      <c r="T16">
        <v>6.36</v>
      </c>
      <c r="U16">
        <v>4.99</v>
      </c>
      <c r="V16">
        <v>5.99</v>
      </c>
      <c r="W16">
        <v>6.1</v>
      </c>
      <c r="X16">
        <v>5.76</v>
      </c>
      <c r="Y16">
        <v>5.41</v>
      </c>
      <c r="Z16">
        <v>6.92</v>
      </c>
      <c r="AA16">
        <v>8.42</v>
      </c>
      <c r="AB16">
        <v>6.81</v>
      </c>
      <c r="AC16">
        <v>4.91</v>
      </c>
      <c r="AD16" s="1">
        <f>IF(AC16="",AB16-$AD$53,AC16)</f>
        <v>4.91</v>
      </c>
    </row>
    <row r="17" spans="1:30" x14ac:dyDescent="0.2">
      <c r="A17" t="s">
        <v>15</v>
      </c>
      <c r="B17">
        <v>4.1100000000000003</v>
      </c>
      <c r="C17">
        <v>3.49</v>
      </c>
      <c r="D17">
        <v>3.98</v>
      </c>
      <c r="E17">
        <v>5.49</v>
      </c>
      <c r="F17">
        <v>6.48</v>
      </c>
      <c r="G17">
        <v>5.58</v>
      </c>
      <c r="H17">
        <v>6.5</v>
      </c>
      <c r="I17">
        <v>7.33</v>
      </c>
      <c r="J17">
        <v>9.4600000000000009</v>
      </c>
      <c r="K17">
        <v>8.4700000000000006</v>
      </c>
      <c r="L17">
        <v>8.56</v>
      </c>
      <c r="M17">
        <v>9.32</v>
      </c>
      <c r="N17">
        <v>6.23</v>
      </c>
      <c r="O17">
        <v>6.1</v>
      </c>
      <c r="P17">
        <v>5.78</v>
      </c>
      <c r="Q17">
        <v>4.7</v>
      </c>
      <c r="R17">
        <v>5.43</v>
      </c>
      <c r="S17">
        <v>7.59</v>
      </c>
      <c r="T17">
        <v>5.3</v>
      </c>
      <c r="U17">
        <v>4.7</v>
      </c>
      <c r="V17">
        <v>5.21</v>
      </c>
      <c r="W17">
        <v>5.37</v>
      </c>
      <c r="X17">
        <v>4.3</v>
      </c>
      <c r="Y17">
        <v>4.4800000000000004</v>
      </c>
      <c r="Z17">
        <v>7.08</v>
      </c>
      <c r="AA17">
        <v>8.66</v>
      </c>
      <c r="AB17">
        <v>7.06</v>
      </c>
      <c r="AC17">
        <v>5.65</v>
      </c>
      <c r="AD17" s="1">
        <f>IF(AC17="",AB17-$AD$53,AC17)</f>
        <v>5.65</v>
      </c>
    </row>
    <row r="18" spans="1:30" x14ac:dyDescent="0.2">
      <c r="A18" t="s">
        <v>16</v>
      </c>
      <c r="B18">
        <v>3.32</v>
      </c>
      <c r="C18">
        <v>3.17</v>
      </c>
      <c r="D18">
        <v>2.93</v>
      </c>
      <c r="E18">
        <v>4</v>
      </c>
      <c r="F18">
        <v>4.97</v>
      </c>
      <c r="G18">
        <v>3.62</v>
      </c>
      <c r="H18">
        <v>4.95</v>
      </c>
      <c r="I18">
        <v>6.41</v>
      </c>
      <c r="J18">
        <v>7.71</v>
      </c>
      <c r="K18">
        <v>6.83</v>
      </c>
      <c r="L18">
        <v>7.17</v>
      </c>
      <c r="M18">
        <v>9.42</v>
      </c>
      <c r="N18">
        <v>4.59</v>
      </c>
      <c r="O18">
        <v>5.49</v>
      </c>
      <c r="P18">
        <v>5.28</v>
      </c>
      <c r="Q18">
        <v>3.87</v>
      </c>
      <c r="R18">
        <v>4.8600000000000003</v>
      </c>
      <c r="S18">
        <v>5.68</v>
      </c>
      <c r="T18">
        <v>4.24</v>
      </c>
      <c r="U18">
        <v>3.69</v>
      </c>
      <c r="V18">
        <v>4.16</v>
      </c>
      <c r="W18">
        <v>4.38</v>
      </c>
      <c r="X18">
        <v>3.93</v>
      </c>
      <c r="Y18">
        <v>3.38</v>
      </c>
      <c r="Z18">
        <v>5.22</v>
      </c>
      <c r="AA18">
        <v>8.36</v>
      </c>
      <c r="AB18">
        <v>5.56</v>
      </c>
      <c r="AD18" s="1">
        <f>IF(AC18="",AB18-$AD$53,AC18)</f>
        <v>4.4765389876880972</v>
      </c>
    </row>
    <row r="19" spans="1:30" x14ac:dyDescent="0.2">
      <c r="A19" t="s">
        <v>17</v>
      </c>
      <c r="B19">
        <v>4.1900000000000004</v>
      </c>
      <c r="C19">
        <v>4</v>
      </c>
      <c r="D19">
        <v>3.32</v>
      </c>
      <c r="E19">
        <v>4.82</v>
      </c>
      <c r="F19">
        <v>6.51</v>
      </c>
      <c r="G19">
        <v>4.63</v>
      </c>
      <c r="H19">
        <v>6.54</v>
      </c>
      <c r="I19">
        <v>7.38</v>
      </c>
      <c r="J19">
        <v>9.9</v>
      </c>
      <c r="K19">
        <v>9.64</v>
      </c>
      <c r="L19">
        <v>8.3699999999999992</v>
      </c>
      <c r="M19">
        <v>10.41</v>
      </c>
      <c r="N19">
        <v>6.04</v>
      </c>
      <c r="O19">
        <v>5.57</v>
      </c>
      <c r="P19">
        <v>5.16</v>
      </c>
      <c r="Q19">
        <v>3.96</v>
      </c>
      <c r="R19">
        <v>4.84</v>
      </c>
      <c r="S19">
        <v>5.78</v>
      </c>
      <c r="T19">
        <v>4.37</v>
      </c>
      <c r="U19">
        <v>3.84</v>
      </c>
      <c r="V19">
        <v>4.46</v>
      </c>
      <c r="W19">
        <v>4.4000000000000004</v>
      </c>
      <c r="X19">
        <v>4.0599999999999996</v>
      </c>
      <c r="Y19">
        <v>3.5</v>
      </c>
      <c r="Z19">
        <v>5.04</v>
      </c>
      <c r="AA19">
        <v>7.84</v>
      </c>
      <c r="AB19">
        <v>4.49</v>
      </c>
      <c r="AC19">
        <v>3.54</v>
      </c>
      <c r="AD19" s="1">
        <f>IF(AC19="",AB19-$AD$53,AC19)</f>
        <v>3.54</v>
      </c>
    </row>
    <row r="20" spans="1:30" x14ac:dyDescent="0.2">
      <c r="A20" t="s">
        <v>18</v>
      </c>
      <c r="B20">
        <v>2.87</v>
      </c>
      <c r="C20">
        <v>2.31</v>
      </c>
      <c r="D20">
        <v>2.54</v>
      </c>
      <c r="E20">
        <v>4.03</v>
      </c>
      <c r="F20">
        <v>5.04</v>
      </c>
      <c r="G20">
        <v>3.69</v>
      </c>
      <c r="H20">
        <v>5.53</v>
      </c>
      <c r="I20">
        <v>6.58</v>
      </c>
      <c r="J20">
        <v>9.11</v>
      </c>
      <c r="K20">
        <v>7.42</v>
      </c>
      <c r="L20">
        <v>7.08</v>
      </c>
      <c r="M20">
        <v>9.32</v>
      </c>
      <c r="N20">
        <v>4.3099999999999996</v>
      </c>
      <c r="O20">
        <v>4.68</v>
      </c>
      <c r="P20">
        <v>4.25</v>
      </c>
      <c r="Q20">
        <v>2.96</v>
      </c>
      <c r="R20">
        <v>3.86</v>
      </c>
      <c r="S20">
        <v>5.05</v>
      </c>
      <c r="T20">
        <v>3.33</v>
      </c>
      <c r="U20">
        <v>3.11</v>
      </c>
      <c r="V20">
        <v>3.64</v>
      </c>
      <c r="W20">
        <v>3.52</v>
      </c>
      <c r="X20">
        <v>3.37</v>
      </c>
      <c r="Y20">
        <v>2.58</v>
      </c>
      <c r="Z20">
        <v>4.04</v>
      </c>
      <c r="AA20">
        <v>7.18</v>
      </c>
      <c r="AB20">
        <v>3.85</v>
      </c>
      <c r="AC20">
        <v>3.38</v>
      </c>
      <c r="AD20" s="1">
        <f>IF(AC20="",AB20-$AD$53,AC20)</f>
        <v>3.38</v>
      </c>
    </row>
    <row r="21" spans="1:30" x14ac:dyDescent="0.2">
      <c r="A21" t="s">
        <v>19</v>
      </c>
      <c r="B21">
        <v>5.55</v>
      </c>
      <c r="C21">
        <v>5.13</v>
      </c>
      <c r="D21">
        <v>4.93</v>
      </c>
      <c r="E21">
        <v>4.0999999999999996</v>
      </c>
      <c r="F21">
        <v>8</v>
      </c>
      <c r="G21">
        <v>8.44</v>
      </c>
      <c r="H21">
        <v>9.74</v>
      </c>
      <c r="I21">
        <v>10.43</v>
      </c>
      <c r="J21">
        <v>13.74</v>
      </c>
      <c r="K21">
        <v>14.39</v>
      </c>
      <c r="L21">
        <v>13.4</v>
      </c>
      <c r="M21">
        <v>14.89</v>
      </c>
      <c r="N21">
        <v>9.1199999999999992</v>
      </c>
      <c r="O21">
        <v>11.23</v>
      </c>
      <c r="P21">
        <v>10.89</v>
      </c>
      <c r="Q21">
        <v>10.35</v>
      </c>
      <c r="R21">
        <v>10.32</v>
      </c>
      <c r="S21">
        <v>11.93</v>
      </c>
      <c r="T21">
        <v>8.9499999999999993</v>
      </c>
      <c r="U21">
        <v>7.68</v>
      </c>
      <c r="V21">
        <v>8.15</v>
      </c>
      <c r="W21">
        <v>9.26</v>
      </c>
      <c r="X21">
        <v>8.67</v>
      </c>
      <c r="Y21">
        <v>7.85</v>
      </c>
      <c r="Z21">
        <v>9.18</v>
      </c>
      <c r="AA21">
        <v>12.93</v>
      </c>
      <c r="AB21">
        <v>10.45</v>
      </c>
      <c r="AC21">
        <v>8.66</v>
      </c>
      <c r="AD21" s="1">
        <f>IF(AC21="",AB21-$AD$53,AC21)</f>
        <v>8.66</v>
      </c>
    </row>
    <row r="22" spans="1:30" x14ac:dyDescent="0.2">
      <c r="A22" t="s">
        <v>20</v>
      </c>
      <c r="B22">
        <v>3.25</v>
      </c>
      <c r="C22">
        <v>5.26</v>
      </c>
      <c r="D22">
        <v>5.69</v>
      </c>
      <c r="E22">
        <v>7.86</v>
      </c>
      <c r="F22">
        <v>9.07</v>
      </c>
      <c r="G22">
        <v>7.42</v>
      </c>
      <c r="H22">
        <v>9.57</v>
      </c>
      <c r="I22">
        <v>10.62</v>
      </c>
      <c r="J22">
        <v>12.17</v>
      </c>
      <c r="K22">
        <v>12.86</v>
      </c>
      <c r="L22">
        <v>11.59</v>
      </c>
      <c r="M22">
        <v>13.46</v>
      </c>
      <c r="N22">
        <v>10.7</v>
      </c>
      <c r="O22">
        <v>9.0500000000000007</v>
      </c>
      <c r="P22">
        <v>8.61</v>
      </c>
      <c r="Q22">
        <v>8.01</v>
      </c>
      <c r="R22">
        <v>8.4700000000000006</v>
      </c>
      <c r="S22">
        <v>9.94</v>
      </c>
      <c r="T22">
        <v>9.6999999999999993</v>
      </c>
      <c r="U22">
        <v>8.8000000000000007</v>
      </c>
      <c r="V22">
        <v>9.84</v>
      </c>
      <c r="W22">
        <v>9.14</v>
      </c>
      <c r="X22">
        <v>10.07</v>
      </c>
      <c r="Y22">
        <v>8.85</v>
      </c>
      <c r="Z22">
        <v>9.1</v>
      </c>
      <c r="AA22">
        <v>12.22</v>
      </c>
      <c r="AB22">
        <v>13.32</v>
      </c>
      <c r="AC22">
        <v>11.89</v>
      </c>
      <c r="AD22" s="1">
        <f>IF(AC22="",AB22-$AD$53,AC22)</f>
        <v>11.89</v>
      </c>
    </row>
    <row r="23" spans="1:30" x14ac:dyDescent="0.2">
      <c r="A23" t="s">
        <v>21</v>
      </c>
      <c r="B23">
        <v>5.78</v>
      </c>
      <c r="C23">
        <v>5.69</v>
      </c>
      <c r="D23">
        <v>5.28</v>
      </c>
      <c r="E23">
        <v>7.49</v>
      </c>
      <c r="F23">
        <v>9.36</v>
      </c>
      <c r="G23">
        <v>7.35</v>
      </c>
      <c r="H23">
        <v>10.11</v>
      </c>
      <c r="I23">
        <v>12.29</v>
      </c>
      <c r="J23">
        <v>13.67</v>
      </c>
      <c r="K23">
        <v>14.88</v>
      </c>
      <c r="L23">
        <v>14.83</v>
      </c>
      <c r="M23">
        <v>15.23</v>
      </c>
      <c r="N23">
        <v>12.07</v>
      </c>
      <c r="O23">
        <v>10.41</v>
      </c>
      <c r="P23">
        <v>10.14</v>
      </c>
      <c r="Q23">
        <v>9.82</v>
      </c>
      <c r="R23">
        <v>10.15</v>
      </c>
      <c r="S23">
        <v>11.53</v>
      </c>
      <c r="T23">
        <v>9.2200000000000006</v>
      </c>
      <c r="U23">
        <v>7.4</v>
      </c>
      <c r="V23">
        <v>8.02</v>
      </c>
      <c r="W23">
        <v>10.31</v>
      </c>
      <c r="X23">
        <v>9.92</v>
      </c>
      <c r="Y23">
        <v>9.3000000000000007</v>
      </c>
      <c r="Z23">
        <v>10.130000000000001</v>
      </c>
      <c r="AA23">
        <v>14.41</v>
      </c>
      <c r="AB23">
        <v>13.28</v>
      </c>
      <c r="AC23">
        <v>13.2</v>
      </c>
      <c r="AD23" s="1">
        <f>IF(AC23="",AB23-$AD$53,AC23)</f>
        <v>13.2</v>
      </c>
    </row>
    <row r="24" spans="1:30" x14ac:dyDescent="0.2">
      <c r="A24" t="s">
        <v>22</v>
      </c>
      <c r="B24">
        <v>4.0199999999999996</v>
      </c>
      <c r="C24">
        <v>3.91</v>
      </c>
      <c r="D24">
        <v>3.69</v>
      </c>
      <c r="E24">
        <v>3.9</v>
      </c>
      <c r="F24">
        <v>4.78</v>
      </c>
      <c r="G24">
        <v>4.83</v>
      </c>
      <c r="H24">
        <v>5.52</v>
      </c>
      <c r="I24">
        <v>6.88</v>
      </c>
      <c r="J24">
        <v>8.6300000000000008</v>
      </c>
      <c r="K24">
        <v>9.9</v>
      </c>
      <c r="L24">
        <v>9.4700000000000006</v>
      </c>
      <c r="M24">
        <v>10.26</v>
      </c>
      <c r="N24">
        <v>9.6300000000000008</v>
      </c>
      <c r="O24">
        <v>9.25</v>
      </c>
      <c r="P24">
        <v>8.27</v>
      </c>
      <c r="Q24">
        <v>7.38</v>
      </c>
      <c r="R24">
        <v>6.97</v>
      </c>
      <c r="S24">
        <v>7.84</v>
      </c>
      <c r="T24">
        <v>6.6</v>
      </c>
      <c r="U24">
        <v>5.75</v>
      </c>
      <c r="V24">
        <v>5.97</v>
      </c>
      <c r="W24">
        <v>5.98</v>
      </c>
      <c r="X24">
        <v>6.01</v>
      </c>
      <c r="Y24">
        <v>5.85</v>
      </c>
      <c r="Z24">
        <v>6.7</v>
      </c>
      <c r="AA24">
        <v>8.82</v>
      </c>
      <c r="AB24">
        <v>8.5</v>
      </c>
      <c r="AC24">
        <v>7.57</v>
      </c>
      <c r="AD24" s="1">
        <f>IF(AC24="",AB24-$AD$53,AC24)</f>
        <v>7.57</v>
      </c>
    </row>
    <row r="25" spans="1:30" x14ac:dyDescent="0.2">
      <c r="A25" t="s">
        <v>23</v>
      </c>
      <c r="B25">
        <v>3.28</v>
      </c>
      <c r="C25">
        <v>2.88</v>
      </c>
      <c r="D25">
        <v>2.98</v>
      </c>
      <c r="E25">
        <v>4.42</v>
      </c>
      <c r="F25">
        <v>5.16</v>
      </c>
      <c r="G25">
        <v>4.18</v>
      </c>
      <c r="H25">
        <v>5.88</v>
      </c>
      <c r="I25">
        <v>6.57</v>
      </c>
      <c r="J25">
        <v>8.49</v>
      </c>
      <c r="K25">
        <v>8.09</v>
      </c>
      <c r="L25">
        <v>7.65</v>
      </c>
      <c r="M25">
        <v>9.0500000000000007</v>
      </c>
      <c r="N25">
        <v>5.66</v>
      </c>
      <c r="O25">
        <v>5.58</v>
      </c>
      <c r="P25">
        <v>5.55</v>
      </c>
      <c r="Q25">
        <v>4.28</v>
      </c>
      <c r="R25">
        <v>4.9400000000000004</v>
      </c>
      <c r="S25">
        <v>6.57</v>
      </c>
      <c r="T25">
        <v>4.87</v>
      </c>
      <c r="U25">
        <v>4.1900000000000004</v>
      </c>
      <c r="V25">
        <v>4.4800000000000004</v>
      </c>
      <c r="W25">
        <v>4.8</v>
      </c>
      <c r="X25">
        <v>4.4400000000000004</v>
      </c>
      <c r="Y25">
        <v>3.99</v>
      </c>
      <c r="Z25">
        <v>5.47</v>
      </c>
      <c r="AA25">
        <v>8.41</v>
      </c>
      <c r="AB25">
        <v>6.18</v>
      </c>
      <c r="AD25" s="1">
        <f>IF(AC25="",AB25-$AD$53,AC25)</f>
        <v>5.0965389876880973</v>
      </c>
    </row>
    <row r="26" spans="1:30" x14ac:dyDescent="0.2">
      <c r="A26" t="s">
        <v>24</v>
      </c>
      <c r="B26">
        <v>3.55</v>
      </c>
      <c r="C26">
        <v>3.22</v>
      </c>
      <c r="D26">
        <v>3.24</v>
      </c>
      <c r="E26">
        <v>4.67</v>
      </c>
      <c r="F26">
        <v>5.79</v>
      </c>
      <c r="G26">
        <v>4.53</v>
      </c>
      <c r="H26">
        <v>6.35</v>
      </c>
      <c r="I26">
        <v>6.67</v>
      </c>
      <c r="J26">
        <v>9.14</v>
      </c>
      <c r="K26">
        <v>9.27</v>
      </c>
      <c r="L26">
        <v>8.2799999999999994</v>
      </c>
      <c r="M26">
        <v>10.37</v>
      </c>
      <c r="N26">
        <v>6.65</v>
      </c>
      <c r="O26">
        <v>6.19</v>
      </c>
      <c r="P26">
        <v>5.83</v>
      </c>
      <c r="Q26">
        <v>4.8499999999999996</v>
      </c>
      <c r="R26">
        <v>5.82</v>
      </c>
      <c r="S26">
        <v>6.15</v>
      </c>
      <c r="T26">
        <v>4.72</v>
      </c>
      <c r="U26">
        <v>4.34</v>
      </c>
      <c r="V26">
        <v>5.07</v>
      </c>
      <c r="W26">
        <v>5.09</v>
      </c>
      <c r="X26">
        <v>4.7</v>
      </c>
      <c r="Y26">
        <v>4.07</v>
      </c>
      <c r="Z26">
        <v>5.67</v>
      </c>
      <c r="AA26">
        <v>8.34</v>
      </c>
      <c r="AB26">
        <v>5.56</v>
      </c>
      <c r="AC26">
        <v>4.43</v>
      </c>
      <c r="AD26" s="1">
        <f>IF(AC26="",AB26-$AD$53,AC26)</f>
        <v>4.43</v>
      </c>
    </row>
    <row r="27" spans="1:30" x14ac:dyDescent="0.2">
      <c r="A27" t="s">
        <v>25</v>
      </c>
      <c r="B27">
        <v>4.75</v>
      </c>
      <c r="C27">
        <v>4.47</v>
      </c>
      <c r="D27">
        <v>4.4000000000000004</v>
      </c>
      <c r="E27">
        <v>5.78</v>
      </c>
      <c r="F27">
        <v>7.49</v>
      </c>
      <c r="G27">
        <v>6.01</v>
      </c>
      <c r="H27">
        <v>7.93</v>
      </c>
      <c r="I27">
        <v>8.8000000000000007</v>
      </c>
      <c r="J27">
        <v>10.99</v>
      </c>
      <c r="K27">
        <v>11.83</v>
      </c>
      <c r="L27">
        <v>10.84</v>
      </c>
      <c r="M27">
        <v>11.32</v>
      </c>
      <c r="N27">
        <v>9.5500000000000007</v>
      </c>
      <c r="O27">
        <v>8.6999999999999993</v>
      </c>
      <c r="P27">
        <v>8.5399999999999991</v>
      </c>
      <c r="Q27">
        <v>7.85</v>
      </c>
      <c r="R27">
        <v>8.19</v>
      </c>
      <c r="S27">
        <v>8</v>
      </c>
      <c r="T27">
        <v>7.58</v>
      </c>
      <c r="U27">
        <v>6.29</v>
      </c>
      <c r="V27">
        <v>6.64</v>
      </c>
      <c r="W27">
        <v>6.51</v>
      </c>
      <c r="X27">
        <v>6.2</v>
      </c>
      <c r="Y27">
        <v>5.77</v>
      </c>
      <c r="Z27">
        <v>6.62</v>
      </c>
      <c r="AA27">
        <v>9.81</v>
      </c>
      <c r="AB27">
        <v>9.59</v>
      </c>
      <c r="AC27">
        <v>7.98</v>
      </c>
      <c r="AD27" s="1">
        <f>IF(AC27="",AB27-$AD$53,AC27)</f>
        <v>7.98</v>
      </c>
    </row>
    <row r="28" spans="1:30" x14ac:dyDescent="0.2">
      <c r="A28" t="s">
        <v>26</v>
      </c>
      <c r="B28">
        <v>4.79</v>
      </c>
      <c r="C28">
        <v>4.68</v>
      </c>
      <c r="D28">
        <v>3.44</v>
      </c>
      <c r="E28">
        <v>7.43</v>
      </c>
      <c r="F28">
        <v>5.17</v>
      </c>
      <c r="G28">
        <v>2.75</v>
      </c>
      <c r="H28">
        <v>4.41</v>
      </c>
      <c r="I28">
        <v>6.34</v>
      </c>
      <c r="J28">
        <v>8.2200000000000006</v>
      </c>
      <c r="K28">
        <v>11.63</v>
      </c>
      <c r="L28">
        <v>9.75</v>
      </c>
      <c r="M28">
        <v>11.04</v>
      </c>
      <c r="N28">
        <v>9.06</v>
      </c>
      <c r="O28">
        <v>8.07</v>
      </c>
      <c r="P28">
        <v>8.1300000000000008</v>
      </c>
      <c r="Q28">
        <v>7.54</v>
      </c>
      <c r="R28">
        <v>7.33</v>
      </c>
      <c r="S28">
        <v>7.99</v>
      </c>
      <c r="T28">
        <v>6.5</v>
      </c>
      <c r="U28">
        <v>6.06</v>
      </c>
      <c r="V28">
        <v>6.6</v>
      </c>
      <c r="W28">
        <v>6.42</v>
      </c>
      <c r="X28">
        <v>5.85</v>
      </c>
      <c r="Y28">
        <v>5.99</v>
      </c>
      <c r="Z28">
        <v>7.14</v>
      </c>
      <c r="AA28">
        <v>9.14</v>
      </c>
      <c r="AB28">
        <v>7.88</v>
      </c>
      <c r="AC28">
        <v>6.25</v>
      </c>
      <c r="AD28" s="1">
        <f>IF(AC28="",AB28-$AD$53,AC28)</f>
        <v>6.25</v>
      </c>
    </row>
    <row r="29" spans="1:30" x14ac:dyDescent="0.2">
      <c r="A29" t="s">
        <v>27</v>
      </c>
      <c r="B29">
        <v>3.85</v>
      </c>
      <c r="C29">
        <v>3.26</v>
      </c>
      <c r="D29">
        <v>3.38</v>
      </c>
      <c r="E29">
        <v>4.62</v>
      </c>
      <c r="F29">
        <v>5.87</v>
      </c>
      <c r="G29">
        <v>4.25</v>
      </c>
      <c r="H29">
        <v>5.86</v>
      </c>
      <c r="I29">
        <v>6.68</v>
      </c>
      <c r="J29">
        <v>8.3800000000000008</v>
      </c>
      <c r="K29">
        <v>8.3699999999999992</v>
      </c>
      <c r="L29">
        <v>7.97</v>
      </c>
      <c r="M29">
        <v>9.1199999999999992</v>
      </c>
      <c r="N29">
        <v>6.02</v>
      </c>
      <c r="O29">
        <v>5.85</v>
      </c>
      <c r="P29">
        <v>5.61</v>
      </c>
      <c r="Q29">
        <v>4.34</v>
      </c>
      <c r="R29">
        <v>4.72</v>
      </c>
      <c r="S29">
        <v>5.69</v>
      </c>
      <c r="T29">
        <v>4.5599999999999996</v>
      </c>
      <c r="U29">
        <v>4.04</v>
      </c>
      <c r="V29">
        <v>4.54</v>
      </c>
      <c r="W29">
        <v>4.4800000000000004</v>
      </c>
      <c r="X29">
        <v>4.2699999999999996</v>
      </c>
      <c r="Y29">
        <v>3.88</v>
      </c>
      <c r="Z29">
        <v>5.36</v>
      </c>
      <c r="AA29">
        <v>8.02</v>
      </c>
      <c r="AB29">
        <v>6.11</v>
      </c>
      <c r="AC29">
        <v>4.37</v>
      </c>
      <c r="AD29" s="1">
        <f>IF(AC29="",AB29-$AD$53,AC29)</f>
        <v>4.37</v>
      </c>
    </row>
    <row r="30" spans="1:30" x14ac:dyDescent="0.2">
      <c r="A30" t="s">
        <v>50</v>
      </c>
      <c r="B30">
        <v>7.77</v>
      </c>
      <c r="C30">
        <v>4.74</v>
      </c>
      <c r="D30">
        <v>4.76</v>
      </c>
      <c r="E30">
        <v>5.1100000000000003</v>
      </c>
      <c r="F30">
        <v>7</v>
      </c>
      <c r="G30">
        <v>7.69</v>
      </c>
      <c r="H30">
        <v>8.68</v>
      </c>
      <c r="I30">
        <v>8.57</v>
      </c>
      <c r="J30">
        <v>9.82</v>
      </c>
      <c r="K30">
        <v>12</v>
      </c>
      <c r="L30">
        <v>11.77</v>
      </c>
      <c r="M30">
        <v>11.1</v>
      </c>
      <c r="N30">
        <v>11.22</v>
      </c>
      <c r="O30">
        <v>10.53</v>
      </c>
      <c r="P30">
        <v>8.99</v>
      </c>
      <c r="Q30">
        <v>7.34</v>
      </c>
      <c r="R30">
        <v>6.66</v>
      </c>
      <c r="S30">
        <v>7.83</v>
      </c>
      <c r="T30">
        <v>8.07</v>
      </c>
      <c r="U30">
        <v>5.9</v>
      </c>
      <c r="V30">
        <v>5.0599999999999996</v>
      </c>
      <c r="W30">
        <v>5.35</v>
      </c>
      <c r="X30">
        <v>5.81</v>
      </c>
      <c r="Y30">
        <v>6</v>
      </c>
      <c r="Z30">
        <v>5.59</v>
      </c>
      <c r="AA30">
        <v>8.23</v>
      </c>
      <c r="AB30">
        <v>11.74</v>
      </c>
      <c r="AC30">
        <v>10.69</v>
      </c>
      <c r="AD30" s="1">
        <f>IF(AC30="",AB30-$AD$53,AC30)</f>
        <v>10.69</v>
      </c>
    </row>
    <row r="31" spans="1:30" x14ac:dyDescent="0.2">
      <c r="A31" t="s">
        <v>28</v>
      </c>
      <c r="B31">
        <v>4.9000000000000004</v>
      </c>
      <c r="C31">
        <v>4.66</v>
      </c>
      <c r="D31">
        <v>4.5999999999999996</v>
      </c>
      <c r="E31">
        <v>6.18</v>
      </c>
      <c r="F31">
        <v>7.92</v>
      </c>
      <c r="G31">
        <v>7.38</v>
      </c>
      <c r="H31">
        <v>9.17</v>
      </c>
      <c r="I31">
        <v>11.86</v>
      </c>
      <c r="J31">
        <v>12.25</v>
      </c>
      <c r="K31">
        <v>12.55</v>
      </c>
      <c r="L31">
        <v>13.45</v>
      </c>
      <c r="M31">
        <v>14.37</v>
      </c>
      <c r="N31">
        <v>12.86</v>
      </c>
      <c r="O31">
        <v>11.59</v>
      </c>
      <c r="P31">
        <v>11.57</v>
      </c>
      <c r="Q31">
        <v>10.48</v>
      </c>
      <c r="R31">
        <v>10.68</v>
      </c>
      <c r="S31">
        <v>9.4600000000000009</v>
      </c>
      <c r="T31">
        <v>10.33</v>
      </c>
      <c r="U31">
        <v>8.59</v>
      </c>
      <c r="V31">
        <v>9.09</v>
      </c>
      <c r="W31">
        <v>9.81</v>
      </c>
      <c r="X31">
        <v>9.4499999999999993</v>
      </c>
      <c r="Y31">
        <v>8.4700000000000006</v>
      </c>
      <c r="Z31">
        <v>9.5299999999999994</v>
      </c>
      <c r="AA31">
        <v>13.19</v>
      </c>
      <c r="AB31">
        <v>13.26</v>
      </c>
      <c r="AC31">
        <v>9.2799999999999994</v>
      </c>
      <c r="AD31" s="1">
        <f>IF(AC31="",AB31-$AD$53,AC31)</f>
        <v>9.2799999999999994</v>
      </c>
    </row>
    <row r="32" spans="1:30" x14ac:dyDescent="0.2">
      <c r="A32" t="s">
        <v>29</v>
      </c>
      <c r="B32">
        <v>3.78</v>
      </c>
      <c r="C32">
        <v>2.97</v>
      </c>
      <c r="D32">
        <v>3.14</v>
      </c>
      <c r="E32">
        <v>5.12</v>
      </c>
      <c r="F32">
        <v>6.69</v>
      </c>
      <c r="G32">
        <v>4.91</v>
      </c>
      <c r="H32">
        <v>7.29</v>
      </c>
      <c r="I32">
        <v>8.66</v>
      </c>
      <c r="J32">
        <v>9.94</v>
      </c>
      <c r="K32">
        <v>10.28</v>
      </c>
      <c r="L32">
        <v>9.6300000000000008</v>
      </c>
      <c r="M32">
        <v>12.76</v>
      </c>
      <c r="N32">
        <v>8.9600000000000009</v>
      </c>
      <c r="O32">
        <v>9.6300000000000008</v>
      </c>
      <c r="P32">
        <v>9.23</v>
      </c>
      <c r="Q32">
        <v>7.87</v>
      </c>
      <c r="R32">
        <v>8.19</v>
      </c>
      <c r="S32">
        <v>10.45</v>
      </c>
      <c r="T32">
        <v>8.09</v>
      </c>
      <c r="U32">
        <v>6.59</v>
      </c>
      <c r="V32">
        <v>7.92</v>
      </c>
      <c r="W32">
        <v>8.0299999999999994</v>
      </c>
      <c r="X32">
        <v>7.63</v>
      </c>
      <c r="Y32">
        <v>7.54</v>
      </c>
      <c r="Z32">
        <v>9.42</v>
      </c>
      <c r="AA32">
        <v>11.46</v>
      </c>
      <c r="AB32">
        <v>9.2100000000000009</v>
      </c>
      <c r="AC32">
        <v>7.96</v>
      </c>
      <c r="AD32" s="1">
        <f>IF(AC32="",AB32-$AD$53,AC32)</f>
        <v>7.96</v>
      </c>
    </row>
    <row r="33" spans="1:30" x14ac:dyDescent="0.2">
      <c r="A33" t="s">
        <v>30</v>
      </c>
      <c r="B33">
        <v>3.18</v>
      </c>
      <c r="C33">
        <v>3.22</v>
      </c>
      <c r="D33">
        <v>2.64</v>
      </c>
      <c r="E33">
        <v>4.3899999999999997</v>
      </c>
      <c r="F33">
        <v>4.0999999999999996</v>
      </c>
      <c r="G33">
        <v>3.87</v>
      </c>
      <c r="H33">
        <v>5.48</v>
      </c>
      <c r="I33">
        <v>6.66</v>
      </c>
      <c r="J33">
        <v>8.6199999999999992</v>
      </c>
      <c r="K33">
        <v>8.92</v>
      </c>
      <c r="L33">
        <v>8.5399999999999991</v>
      </c>
      <c r="M33">
        <v>10.27</v>
      </c>
      <c r="N33">
        <v>5.41</v>
      </c>
      <c r="O33">
        <v>6.17</v>
      </c>
      <c r="P33">
        <v>6.22</v>
      </c>
      <c r="Q33">
        <v>4.96</v>
      </c>
      <c r="R33">
        <v>5.58</v>
      </c>
      <c r="S33">
        <v>6.18</v>
      </c>
      <c r="T33">
        <v>4.62</v>
      </c>
      <c r="U33">
        <v>4.18</v>
      </c>
      <c r="V33">
        <v>5.0599999999999996</v>
      </c>
      <c r="W33">
        <v>3.72</v>
      </c>
      <c r="X33">
        <v>3.48</v>
      </c>
      <c r="Y33">
        <v>3.06</v>
      </c>
      <c r="Z33">
        <v>6.03</v>
      </c>
      <c r="AA33">
        <v>9.6199999999999992</v>
      </c>
      <c r="AB33">
        <v>5.05</v>
      </c>
      <c r="AD33" s="1">
        <f>IF(AC33="",AB33-$AD$53,AC33)</f>
        <v>3.9665389876880974</v>
      </c>
    </row>
    <row r="34" spans="1:30" x14ac:dyDescent="0.2">
      <c r="A34" t="s">
        <v>31</v>
      </c>
      <c r="B34">
        <v>5.05</v>
      </c>
      <c r="C34">
        <v>4.0199999999999996</v>
      </c>
      <c r="D34">
        <v>3.9</v>
      </c>
      <c r="E34">
        <v>6.14</v>
      </c>
      <c r="F34">
        <v>7.72</v>
      </c>
      <c r="G34">
        <v>5.53</v>
      </c>
      <c r="H34">
        <v>7.35</v>
      </c>
      <c r="I34">
        <v>8.0500000000000007</v>
      </c>
      <c r="J34">
        <v>10.76</v>
      </c>
      <c r="K34">
        <v>10.56</v>
      </c>
      <c r="L34">
        <v>11.43</v>
      </c>
      <c r="M34">
        <v>12.3</v>
      </c>
      <c r="N34">
        <v>9.52</v>
      </c>
      <c r="O34">
        <v>8.5500000000000007</v>
      </c>
      <c r="P34">
        <v>8.18</v>
      </c>
      <c r="Q34">
        <v>6.92</v>
      </c>
      <c r="R34">
        <v>7.44</v>
      </c>
      <c r="S34">
        <v>8.1300000000000008</v>
      </c>
      <c r="T34">
        <v>6.62</v>
      </c>
      <c r="U34">
        <v>5.92</v>
      </c>
      <c r="V34">
        <v>7.21</v>
      </c>
      <c r="W34">
        <v>7.83</v>
      </c>
      <c r="X34">
        <v>7.7</v>
      </c>
      <c r="Y34">
        <v>7</v>
      </c>
      <c r="Z34">
        <v>8.3800000000000008</v>
      </c>
      <c r="AA34">
        <v>10.88</v>
      </c>
      <c r="AB34">
        <v>10.4</v>
      </c>
      <c r="AC34">
        <v>10.77</v>
      </c>
      <c r="AD34" s="1">
        <f>IF(AC34="",AB34-$AD$53,AC34)</f>
        <v>10.77</v>
      </c>
    </row>
    <row r="35" spans="1:30" x14ac:dyDescent="0.2">
      <c r="A35" t="s">
        <v>32</v>
      </c>
      <c r="B35">
        <v>4.66</v>
      </c>
      <c r="C35">
        <v>3.96</v>
      </c>
      <c r="D35">
        <v>3.81</v>
      </c>
      <c r="E35">
        <v>5.31</v>
      </c>
      <c r="F35">
        <v>6.99</v>
      </c>
      <c r="G35">
        <v>4.91</v>
      </c>
      <c r="H35">
        <v>6.28</v>
      </c>
      <c r="I35">
        <v>7.2</v>
      </c>
      <c r="J35">
        <v>11.19</v>
      </c>
      <c r="K35">
        <v>10.99</v>
      </c>
      <c r="L35">
        <v>9.98</v>
      </c>
      <c r="M35">
        <v>12.1</v>
      </c>
      <c r="N35">
        <v>8.66</v>
      </c>
      <c r="O35">
        <v>8.24</v>
      </c>
      <c r="P35">
        <v>7.7</v>
      </c>
      <c r="Q35">
        <v>6.37</v>
      </c>
      <c r="R35">
        <v>6.87</v>
      </c>
      <c r="S35">
        <v>7.55</v>
      </c>
      <c r="T35">
        <v>6.34</v>
      </c>
      <c r="U35">
        <v>5.43</v>
      </c>
      <c r="V35">
        <v>6.24</v>
      </c>
      <c r="W35">
        <v>6.18</v>
      </c>
      <c r="X35">
        <v>5.78</v>
      </c>
      <c r="Y35">
        <v>5.24</v>
      </c>
      <c r="Z35">
        <v>6.33</v>
      </c>
      <c r="AA35">
        <v>9.27</v>
      </c>
      <c r="AB35">
        <v>6.71</v>
      </c>
      <c r="AC35">
        <v>5.48</v>
      </c>
      <c r="AD35" s="1">
        <f>IF(AC35="",AB35-$AD$53,AC35)</f>
        <v>5.48</v>
      </c>
    </row>
    <row r="36" spans="1:30" x14ac:dyDescent="0.2">
      <c r="A36" t="s">
        <v>33</v>
      </c>
      <c r="B36">
        <v>3.05</v>
      </c>
      <c r="C36">
        <v>2.82</v>
      </c>
      <c r="D36">
        <v>2.8</v>
      </c>
      <c r="E36">
        <v>4.1399999999999997</v>
      </c>
      <c r="F36">
        <v>5.27</v>
      </c>
      <c r="G36">
        <v>4.3099999999999996</v>
      </c>
      <c r="H36">
        <v>3.88</v>
      </c>
      <c r="I36">
        <v>5.7</v>
      </c>
      <c r="J36">
        <v>9.34</v>
      </c>
      <c r="K36">
        <v>6.54</v>
      </c>
      <c r="L36">
        <v>6.86</v>
      </c>
      <c r="M36">
        <v>8.3000000000000007</v>
      </c>
      <c r="N36">
        <v>5.21</v>
      </c>
      <c r="O36">
        <v>5.22</v>
      </c>
      <c r="P36">
        <v>5.0999999999999996</v>
      </c>
      <c r="Q36">
        <v>4.4800000000000004</v>
      </c>
      <c r="R36">
        <v>4.1399999999999997</v>
      </c>
      <c r="S36">
        <v>5.61</v>
      </c>
      <c r="T36">
        <v>3.13</v>
      </c>
      <c r="U36">
        <v>2.62</v>
      </c>
      <c r="V36">
        <v>3.15</v>
      </c>
      <c r="W36">
        <v>3.29</v>
      </c>
      <c r="X36">
        <v>2.82</v>
      </c>
      <c r="Y36">
        <v>2.04</v>
      </c>
      <c r="Z36">
        <v>4.63</v>
      </c>
      <c r="AA36">
        <v>6.75</v>
      </c>
      <c r="AB36">
        <v>3.29</v>
      </c>
      <c r="AC36">
        <v>2.21</v>
      </c>
      <c r="AD36" s="1">
        <f>IF(AC36="",AB36-$AD$53,AC36)</f>
        <v>2.21</v>
      </c>
    </row>
    <row r="37" spans="1:30" x14ac:dyDescent="0.2">
      <c r="A37" t="s">
        <v>34</v>
      </c>
      <c r="B37">
        <v>4.93</v>
      </c>
      <c r="C37">
        <v>4.3899999999999997</v>
      </c>
      <c r="D37">
        <v>3.94</v>
      </c>
      <c r="E37">
        <v>5.14</v>
      </c>
      <c r="F37">
        <v>6.54</v>
      </c>
      <c r="G37">
        <v>5.67</v>
      </c>
      <c r="H37">
        <v>8.06</v>
      </c>
      <c r="I37">
        <v>8.84</v>
      </c>
      <c r="J37">
        <v>11.22</v>
      </c>
      <c r="K37">
        <v>11.6</v>
      </c>
      <c r="L37">
        <v>10.63</v>
      </c>
      <c r="M37">
        <v>12.71</v>
      </c>
      <c r="N37">
        <v>8.7100000000000009</v>
      </c>
      <c r="O37">
        <v>7.4</v>
      </c>
      <c r="P37">
        <v>6.77</v>
      </c>
      <c r="Q37">
        <v>5.48</v>
      </c>
      <c r="R37">
        <v>6.03</v>
      </c>
      <c r="S37">
        <v>7.06</v>
      </c>
      <c r="T37">
        <v>5.35</v>
      </c>
      <c r="U37">
        <v>4.8099999999999996</v>
      </c>
      <c r="V37">
        <v>6.71</v>
      </c>
      <c r="W37">
        <v>6.57</v>
      </c>
      <c r="X37">
        <v>6.21</v>
      </c>
      <c r="Y37">
        <v>5.93</v>
      </c>
      <c r="Z37">
        <v>8</v>
      </c>
      <c r="AA37">
        <v>10.87</v>
      </c>
      <c r="AB37">
        <v>7.74</v>
      </c>
      <c r="AC37">
        <v>7.73</v>
      </c>
      <c r="AD37" s="1">
        <f>IF(AC37="",AB37-$AD$53,AC37)</f>
        <v>7.73</v>
      </c>
    </row>
    <row r="38" spans="1:30" x14ac:dyDescent="0.2">
      <c r="A38" t="s">
        <v>35</v>
      </c>
      <c r="B38">
        <v>4.16</v>
      </c>
      <c r="C38">
        <v>3.65</v>
      </c>
      <c r="D38">
        <v>3.51</v>
      </c>
      <c r="E38">
        <v>5.24</v>
      </c>
      <c r="F38">
        <v>8.07</v>
      </c>
      <c r="G38">
        <v>6.28</v>
      </c>
      <c r="H38">
        <v>7.45</v>
      </c>
      <c r="I38">
        <v>8.59</v>
      </c>
      <c r="J38">
        <v>9.41</v>
      </c>
      <c r="K38">
        <v>9.66</v>
      </c>
      <c r="L38">
        <v>9.18</v>
      </c>
      <c r="M38">
        <v>13.03</v>
      </c>
      <c r="N38">
        <v>12.53</v>
      </c>
      <c r="O38">
        <v>8.23</v>
      </c>
      <c r="P38">
        <v>7.37</v>
      </c>
      <c r="Q38">
        <v>7.65</v>
      </c>
      <c r="R38">
        <v>7.16</v>
      </c>
      <c r="S38">
        <v>8.3000000000000007</v>
      </c>
      <c r="T38">
        <v>7.51</v>
      </c>
      <c r="U38">
        <v>2.94</v>
      </c>
      <c r="V38">
        <v>3.3</v>
      </c>
      <c r="W38">
        <v>2.67</v>
      </c>
      <c r="X38">
        <v>2.5</v>
      </c>
      <c r="Y38">
        <v>2.29</v>
      </c>
      <c r="Z38">
        <v>4.5199999999999996</v>
      </c>
      <c r="AA38">
        <v>7.38</v>
      </c>
      <c r="AB38">
        <v>3.32</v>
      </c>
      <c r="AC38">
        <v>3.03</v>
      </c>
      <c r="AD38" s="1">
        <f>IF(AC38="",AB38-$AD$53,AC38)</f>
        <v>3.03</v>
      </c>
    </row>
    <row r="39" spans="1:30" x14ac:dyDescent="0.2">
      <c r="A39" t="s">
        <v>36</v>
      </c>
      <c r="B39">
        <v>3.03</v>
      </c>
      <c r="C39">
        <v>3.75</v>
      </c>
      <c r="D39">
        <v>4.01</v>
      </c>
      <c r="E39">
        <v>4.93</v>
      </c>
      <c r="F39">
        <v>6.09</v>
      </c>
      <c r="G39">
        <v>6.98</v>
      </c>
      <c r="H39">
        <v>5.84</v>
      </c>
      <c r="I39">
        <v>6.3</v>
      </c>
      <c r="J39">
        <v>7.7</v>
      </c>
      <c r="K39">
        <v>9.16</v>
      </c>
      <c r="L39">
        <v>9.3000000000000007</v>
      </c>
      <c r="M39">
        <v>9.07</v>
      </c>
      <c r="N39">
        <v>9.6999999999999993</v>
      </c>
      <c r="O39">
        <v>7.05</v>
      </c>
      <c r="P39">
        <v>6.84</v>
      </c>
      <c r="Q39">
        <v>5.87</v>
      </c>
      <c r="R39">
        <v>5.79</v>
      </c>
      <c r="S39">
        <v>6.2</v>
      </c>
      <c r="T39">
        <v>7.1</v>
      </c>
      <c r="U39">
        <v>5.73</v>
      </c>
      <c r="V39">
        <v>5.31</v>
      </c>
      <c r="W39">
        <v>5.01</v>
      </c>
      <c r="X39">
        <v>4.62</v>
      </c>
      <c r="Y39">
        <v>4.7300000000000004</v>
      </c>
      <c r="Z39">
        <v>5.07</v>
      </c>
      <c r="AA39">
        <v>6.34</v>
      </c>
      <c r="AB39">
        <v>7.98</v>
      </c>
      <c r="AD39" s="1">
        <f>IF(AC39="",AB39-$AD$53,AC39)</f>
        <v>6.896538987688098</v>
      </c>
    </row>
    <row r="40" spans="1:30" x14ac:dyDescent="0.2">
      <c r="A40" t="s">
        <v>37</v>
      </c>
      <c r="B40">
        <v>4.6100000000000003</v>
      </c>
      <c r="C40">
        <v>4.1500000000000004</v>
      </c>
      <c r="D40">
        <v>3.99</v>
      </c>
      <c r="E40">
        <v>5.12</v>
      </c>
      <c r="F40">
        <v>7.18</v>
      </c>
      <c r="G40">
        <v>6.29</v>
      </c>
      <c r="H40">
        <v>8.1199999999999992</v>
      </c>
      <c r="I40">
        <v>8.9700000000000006</v>
      </c>
      <c r="J40">
        <v>11.25</v>
      </c>
      <c r="K40">
        <v>12.3</v>
      </c>
      <c r="L40">
        <v>10.64</v>
      </c>
      <c r="M40">
        <v>12.09</v>
      </c>
      <c r="N40">
        <v>9.19</v>
      </c>
      <c r="O40">
        <v>8.23</v>
      </c>
      <c r="P40">
        <v>9.86</v>
      </c>
      <c r="Q40">
        <v>9.58</v>
      </c>
      <c r="R40">
        <v>9.1300000000000008</v>
      </c>
      <c r="S40">
        <v>9.9499999999999993</v>
      </c>
      <c r="T40">
        <v>8.59</v>
      </c>
      <c r="U40">
        <v>7.4</v>
      </c>
      <c r="V40">
        <v>8.3800000000000008</v>
      </c>
      <c r="W40">
        <v>8.69</v>
      </c>
      <c r="X40">
        <v>8.52</v>
      </c>
      <c r="Y40">
        <v>7.98</v>
      </c>
      <c r="Z40">
        <v>8.51</v>
      </c>
      <c r="AA40">
        <v>11.17</v>
      </c>
      <c r="AB40">
        <v>11.77</v>
      </c>
      <c r="AC40">
        <v>9.3800000000000008</v>
      </c>
      <c r="AD40" s="1">
        <f>IF(AC40="",AB40-$AD$53,AC40)</f>
        <v>9.3800000000000008</v>
      </c>
    </row>
    <row r="41" spans="1:30" x14ac:dyDescent="0.2">
      <c r="A41" t="s">
        <v>38</v>
      </c>
      <c r="B41">
        <v>4.33</v>
      </c>
      <c r="C41">
        <v>3.82</v>
      </c>
      <c r="D41">
        <v>4.4000000000000004</v>
      </c>
      <c r="E41">
        <v>5.38</v>
      </c>
      <c r="F41">
        <v>6.61</v>
      </c>
      <c r="G41">
        <v>4.84</v>
      </c>
      <c r="H41">
        <v>8.19</v>
      </c>
      <c r="I41">
        <v>9.6300000000000008</v>
      </c>
      <c r="J41">
        <v>11.23</v>
      </c>
      <c r="K41">
        <v>13.32</v>
      </c>
      <c r="L41">
        <v>12.58</v>
      </c>
      <c r="M41">
        <v>13.26</v>
      </c>
      <c r="N41">
        <v>12.58</v>
      </c>
      <c r="O41">
        <v>12.13</v>
      </c>
      <c r="P41">
        <v>10.98</v>
      </c>
      <c r="Q41">
        <v>9.7799999999999994</v>
      </c>
      <c r="R41">
        <v>9.0399999999999991</v>
      </c>
      <c r="S41">
        <v>10.27</v>
      </c>
      <c r="T41">
        <v>9.26</v>
      </c>
      <c r="U41">
        <v>8.6999999999999993</v>
      </c>
      <c r="V41">
        <v>8.48</v>
      </c>
      <c r="W41">
        <v>10.46</v>
      </c>
      <c r="X41">
        <v>9.6999999999999993</v>
      </c>
      <c r="Y41">
        <v>9.16</v>
      </c>
      <c r="Z41">
        <v>9.81</v>
      </c>
      <c r="AA41">
        <v>10.99</v>
      </c>
      <c r="AB41">
        <v>12.76</v>
      </c>
      <c r="AD41" s="1">
        <f>IF(AC41="",AB41-$AD$53,AC41)</f>
        <v>11.676538987688097</v>
      </c>
    </row>
    <row r="42" spans="1:30" x14ac:dyDescent="0.2">
      <c r="A42" t="s">
        <v>39</v>
      </c>
      <c r="B42">
        <v>3.72</v>
      </c>
      <c r="C42">
        <v>3.29</v>
      </c>
      <c r="D42">
        <v>3.39</v>
      </c>
      <c r="E42">
        <v>4.93</v>
      </c>
      <c r="F42">
        <v>5.55</v>
      </c>
      <c r="G42">
        <v>4.49</v>
      </c>
      <c r="H42">
        <v>6.83</v>
      </c>
      <c r="I42">
        <v>7.69</v>
      </c>
      <c r="J42">
        <v>10.02</v>
      </c>
      <c r="K42">
        <v>9.2100000000000009</v>
      </c>
      <c r="L42">
        <v>8.84</v>
      </c>
      <c r="M42">
        <v>11.03</v>
      </c>
      <c r="N42">
        <v>6.06</v>
      </c>
      <c r="O42">
        <v>6.12</v>
      </c>
      <c r="P42">
        <v>5.6</v>
      </c>
      <c r="Q42">
        <v>4.3</v>
      </c>
      <c r="R42">
        <v>5.27</v>
      </c>
      <c r="S42">
        <v>6.14</v>
      </c>
      <c r="T42">
        <v>4.6399999999999997</v>
      </c>
      <c r="U42">
        <v>4.2</v>
      </c>
      <c r="V42">
        <v>4.8600000000000003</v>
      </c>
      <c r="W42">
        <v>4.92</v>
      </c>
      <c r="X42">
        <v>4.6500000000000004</v>
      </c>
      <c r="Y42">
        <v>3.92</v>
      </c>
      <c r="Z42">
        <v>5.6</v>
      </c>
      <c r="AA42">
        <v>8.92</v>
      </c>
      <c r="AB42">
        <v>5.16</v>
      </c>
      <c r="AC42">
        <v>4.92</v>
      </c>
      <c r="AD42" s="1">
        <f>IF(AC42="",AB42-$AD$53,AC42)</f>
        <v>4.92</v>
      </c>
    </row>
    <row r="43" spans="1:30" x14ac:dyDescent="0.2">
      <c r="A43" t="s">
        <v>40</v>
      </c>
      <c r="B43">
        <v>4.0199999999999996</v>
      </c>
      <c r="C43">
        <v>3.28</v>
      </c>
      <c r="D43">
        <v>3.35</v>
      </c>
      <c r="E43">
        <v>4.38</v>
      </c>
      <c r="F43">
        <v>6.08</v>
      </c>
      <c r="G43">
        <v>4.28</v>
      </c>
      <c r="H43">
        <v>5.78</v>
      </c>
      <c r="I43">
        <v>6.26</v>
      </c>
      <c r="J43">
        <v>8.0299999999999994</v>
      </c>
      <c r="K43">
        <v>9.32</v>
      </c>
      <c r="L43">
        <v>8.32</v>
      </c>
      <c r="M43">
        <v>9</v>
      </c>
      <c r="N43">
        <v>6.07</v>
      </c>
      <c r="O43">
        <v>5.92</v>
      </c>
      <c r="P43">
        <v>6.25</v>
      </c>
      <c r="Q43">
        <v>5.37</v>
      </c>
      <c r="R43">
        <v>5.67</v>
      </c>
      <c r="S43">
        <v>6.88</v>
      </c>
      <c r="T43">
        <v>5.34</v>
      </c>
      <c r="U43">
        <v>4.78</v>
      </c>
      <c r="V43">
        <v>5.1100000000000003</v>
      </c>
      <c r="W43">
        <v>5.0199999999999996</v>
      </c>
      <c r="X43">
        <v>4.78</v>
      </c>
      <c r="Y43">
        <v>4.4000000000000004</v>
      </c>
      <c r="Z43">
        <v>6.06</v>
      </c>
      <c r="AA43">
        <v>7.49</v>
      </c>
      <c r="AB43">
        <v>6.14</v>
      </c>
      <c r="AC43">
        <v>4.82</v>
      </c>
      <c r="AD43" s="1">
        <f>IF(AC43="",AB43-$AD$53,AC43)</f>
        <v>4.82</v>
      </c>
    </row>
    <row r="44" spans="1:30" x14ac:dyDescent="0.2">
      <c r="A44" t="s">
        <v>41</v>
      </c>
      <c r="B44">
        <v>4.18</v>
      </c>
      <c r="C44">
        <v>3.94</v>
      </c>
      <c r="D44">
        <v>3.73</v>
      </c>
      <c r="E44">
        <v>5.08</v>
      </c>
      <c r="F44">
        <v>6.85</v>
      </c>
      <c r="G44">
        <v>5.34</v>
      </c>
      <c r="H44">
        <v>6.33</v>
      </c>
      <c r="I44">
        <v>7.44</v>
      </c>
      <c r="J44">
        <v>10.06</v>
      </c>
      <c r="K44">
        <v>10</v>
      </c>
      <c r="L44">
        <v>9.32</v>
      </c>
      <c r="M44">
        <v>10.81</v>
      </c>
      <c r="N44">
        <v>7.09</v>
      </c>
      <c r="O44">
        <v>6.64</v>
      </c>
      <c r="P44">
        <v>6.15</v>
      </c>
      <c r="Q44">
        <v>4.9800000000000004</v>
      </c>
      <c r="R44">
        <v>5.62</v>
      </c>
      <c r="S44">
        <v>6.31</v>
      </c>
      <c r="T44">
        <v>5.0599999999999996</v>
      </c>
      <c r="U44">
        <v>4.4400000000000004</v>
      </c>
      <c r="V44">
        <v>5.04</v>
      </c>
      <c r="W44">
        <v>4.95</v>
      </c>
      <c r="X44">
        <v>4.68</v>
      </c>
      <c r="Y44">
        <v>4.16</v>
      </c>
      <c r="Z44">
        <v>5.53</v>
      </c>
      <c r="AA44">
        <v>8</v>
      </c>
      <c r="AB44">
        <v>5.51</v>
      </c>
      <c r="AD44" s="1">
        <f>IF(AC44="",AB44-$AD$53,AC44)</f>
        <v>4.4265389876880974</v>
      </c>
    </row>
    <row r="45" spans="1:30" x14ac:dyDescent="0.2">
      <c r="A45" t="s">
        <v>42</v>
      </c>
      <c r="B45">
        <v>2.8</v>
      </c>
      <c r="C45">
        <v>2.33</v>
      </c>
      <c r="D45">
        <v>2.56</v>
      </c>
      <c r="E45">
        <v>4.0999999999999996</v>
      </c>
      <c r="F45">
        <v>4.46</v>
      </c>
      <c r="G45">
        <v>3.4</v>
      </c>
      <c r="H45">
        <v>5.36</v>
      </c>
      <c r="I45">
        <v>5.91</v>
      </c>
      <c r="J45">
        <v>7.62</v>
      </c>
      <c r="K45">
        <v>6.69</v>
      </c>
      <c r="L45">
        <v>6.76</v>
      </c>
      <c r="M45">
        <v>8.9600000000000009</v>
      </c>
      <c r="N45">
        <v>4.05</v>
      </c>
      <c r="O45">
        <v>4.6100000000000003</v>
      </c>
      <c r="P45">
        <v>4.21</v>
      </c>
      <c r="Q45">
        <v>3.02</v>
      </c>
      <c r="R45">
        <v>3.92</v>
      </c>
      <c r="S45">
        <v>4.71</v>
      </c>
      <c r="T45">
        <v>2.89</v>
      </c>
      <c r="U45">
        <v>2.65</v>
      </c>
      <c r="V45">
        <v>3.28</v>
      </c>
      <c r="W45">
        <v>3.42</v>
      </c>
      <c r="X45">
        <v>2.88</v>
      </c>
      <c r="Y45">
        <v>2.31</v>
      </c>
      <c r="Z45">
        <v>4.8600000000000003</v>
      </c>
      <c r="AA45">
        <v>6.61</v>
      </c>
      <c r="AB45">
        <v>2.4700000000000002</v>
      </c>
      <c r="AC45">
        <v>2.36</v>
      </c>
      <c r="AD45" s="1">
        <f>IF(AC45="",AB45-$AD$53,AC45)</f>
        <v>2.36</v>
      </c>
    </row>
    <row r="46" spans="1:30" x14ac:dyDescent="0.2">
      <c r="A46" t="s">
        <v>43</v>
      </c>
      <c r="B46">
        <v>2.5499999999999998</v>
      </c>
      <c r="C46">
        <v>3</v>
      </c>
      <c r="D46">
        <v>2.94</v>
      </c>
      <c r="E46">
        <v>3.93</v>
      </c>
      <c r="F46">
        <v>5.29</v>
      </c>
      <c r="G46">
        <v>3.91</v>
      </c>
      <c r="H46">
        <v>5.04</v>
      </c>
      <c r="I46">
        <v>5.9</v>
      </c>
      <c r="J46">
        <v>7.33</v>
      </c>
      <c r="K46">
        <v>8.02</v>
      </c>
      <c r="L46">
        <v>6.35</v>
      </c>
      <c r="M46">
        <v>7.21</v>
      </c>
      <c r="N46">
        <v>5.62</v>
      </c>
      <c r="O46">
        <v>5.57</v>
      </c>
      <c r="P46">
        <v>5.5</v>
      </c>
      <c r="Q46">
        <v>4.6900000000000004</v>
      </c>
      <c r="R46">
        <v>5.22</v>
      </c>
      <c r="S46">
        <v>5.87</v>
      </c>
      <c r="T46">
        <v>5.93</v>
      </c>
      <c r="U46">
        <v>5.52</v>
      </c>
      <c r="V46">
        <v>5.51</v>
      </c>
      <c r="W46">
        <v>5.31</v>
      </c>
      <c r="X46">
        <v>5</v>
      </c>
      <c r="Y46">
        <v>5.07</v>
      </c>
      <c r="Z46">
        <v>5.43</v>
      </c>
      <c r="AA46">
        <v>7.97</v>
      </c>
      <c r="AB46">
        <v>9.99</v>
      </c>
      <c r="AC46">
        <v>7.75</v>
      </c>
      <c r="AD46" s="1">
        <f>IF(AC46="",AB46-$AD$53,AC46)</f>
        <v>7.75</v>
      </c>
    </row>
    <row r="47" spans="1:30" x14ac:dyDescent="0.2">
      <c r="A47" t="s">
        <v>44</v>
      </c>
      <c r="B47">
        <v>3.07</v>
      </c>
      <c r="C47">
        <v>2.8</v>
      </c>
      <c r="D47">
        <v>3.06</v>
      </c>
      <c r="E47">
        <v>2.99</v>
      </c>
      <c r="F47">
        <v>5.0199999999999996</v>
      </c>
      <c r="G47">
        <v>4.3899999999999997</v>
      </c>
      <c r="H47">
        <v>4.97</v>
      </c>
      <c r="I47">
        <v>6.04</v>
      </c>
      <c r="J47">
        <v>7.65</v>
      </c>
      <c r="K47">
        <v>9.25</v>
      </c>
      <c r="L47">
        <v>9.08</v>
      </c>
      <c r="M47">
        <v>9.6</v>
      </c>
      <c r="N47">
        <v>7.93</v>
      </c>
      <c r="O47">
        <v>6.57</v>
      </c>
      <c r="P47">
        <v>6.09</v>
      </c>
      <c r="Q47">
        <v>4.8899999999999997</v>
      </c>
      <c r="R47">
        <v>8.59</v>
      </c>
      <c r="S47">
        <v>6.63</v>
      </c>
      <c r="T47">
        <v>5.5</v>
      </c>
      <c r="U47">
        <v>5.2</v>
      </c>
      <c r="V47">
        <v>4.92</v>
      </c>
      <c r="W47">
        <v>4.55</v>
      </c>
      <c r="X47">
        <v>4.13</v>
      </c>
      <c r="Y47">
        <v>3.49</v>
      </c>
      <c r="Z47">
        <v>5.15</v>
      </c>
      <c r="AA47">
        <v>6.69</v>
      </c>
      <c r="AB47">
        <v>5.69</v>
      </c>
      <c r="AC47">
        <v>4.5199999999999996</v>
      </c>
      <c r="AD47" s="1">
        <f>IF(AC47="",AB47-$AD$53,AC47)</f>
        <v>4.5199999999999996</v>
      </c>
    </row>
    <row r="48" spans="1:30" x14ac:dyDescent="0.2">
      <c r="A48" t="s">
        <v>45</v>
      </c>
      <c r="B48">
        <v>4.68</v>
      </c>
      <c r="C48">
        <v>4.07</v>
      </c>
      <c r="D48">
        <v>3.94</v>
      </c>
      <c r="E48">
        <v>5.2</v>
      </c>
      <c r="F48">
        <v>5.99</v>
      </c>
      <c r="G48">
        <v>4.59</v>
      </c>
      <c r="H48">
        <v>5.97</v>
      </c>
      <c r="I48">
        <v>7.91</v>
      </c>
      <c r="J48">
        <v>10.83</v>
      </c>
      <c r="K48">
        <v>9.98</v>
      </c>
      <c r="L48">
        <v>9.33</v>
      </c>
      <c r="M48">
        <v>11.49</v>
      </c>
      <c r="N48">
        <v>7.14</v>
      </c>
      <c r="O48">
        <v>6.68</v>
      </c>
      <c r="P48">
        <v>6.44</v>
      </c>
      <c r="Q48">
        <v>5.29</v>
      </c>
      <c r="R48">
        <v>6.02</v>
      </c>
      <c r="S48">
        <v>6.43</v>
      </c>
      <c r="T48">
        <v>5.0199999999999996</v>
      </c>
      <c r="U48">
        <v>4.42</v>
      </c>
      <c r="V48">
        <v>5.04</v>
      </c>
      <c r="W48">
        <v>5.08</v>
      </c>
      <c r="X48">
        <v>4.66</v>
      </c>
      <c r="Y48">
        <v>3.75</v>
      </c>
      <c r="Z48">
        <v>5.16</v>
      </c>
      <c r="AA48">
        <v>7.53</v>
      </c>
      <c r="AB48">
        <v>5.05</v>
      </c>
      <c r="AC48">
        <v>4.34</v>
      </c>
      <c r="AD48" s="1">
        <f>IF(AC48="",AB48-$AD$53,AC48)</f>
        <v>4.34</v>
      </c>
    </row>
    <row r="49" spans="1:30" x14ac:dyDescent="0.2">
      <c r="A49" t="s">
        <v>46</v>
      </c>
      <c r="B49">
        <v>3.16</v>
      </c>
      <c r="C49">
        <v>2.64</v>
      </c>
      <c r="D49">
        <v>2.82</v>
      </c>
      <c r="E49">
        <v>4.01</v>
      </c>
      <c r="F49">
        <v>5.0199999999999996</v>
      </c>
      <c r="G49">
        <v>4.8099999999999996</v>
      </c>
      <c r="H49">
        <v>6.05</v>
      </c>
      <c r="I49">
        <v>7.83</v>
      </c>
      <c r="J49">
        <v>10.26</v>
      </c>
      <c r="K49">
        <v>9.8699999999999992</v>
      </c>
      <c r="L49">
        <v>9.7899999999999991</v>
      </c>
      <c r="M49">
        <v>10.55</v>
      </c>
      <c r="N49">
        <v>11.68</v>
      </c>
      <c r="O49">
        <v>9.3699999999999992</v>
      </c>
      <c r="P49">
        <v>9.4700000000000006</v>
      </c>
      <c r="Q49">
        <v>8.77</v>
      </c>
      <c r="R49">
        <v>8.3699999999999992</v>
      </c>
      <c r="S49">
        <v>8.5500000000000007</v>
      </c>
      <c r="T49">
        <v>8.94</v>
      </c>
      <c r="U49">
        <v>7.47</v>
      </c>
      <c r="V49">
        <v>7.39</v>
      </c>
      <c r="W49">
        <v>7.17</v>
      </c>
      <c r="X49">
        <v>6.86</v>
      </c>
      <c r="Y49">
        <v>7.72</v>
      </c>
      <c r="Z49">
        <v>8.2100000000000009</v>
      </c>
      <c r="AA49">
        <v>9.61</v>
      </c>
      <c r="AB49">
        <v>11.38</v>
      </c>
      <c r="AC49">
        <v>12.3</v>
      </c>
      <c r="AD49" s="1">
        <f>IF(AC49="",AB49-$AD$53,AC49)</f>
        <v>12.3</v>
      </c>
    </row>
    <row r="50" spans="1:30" x14ac:dyDescent="0.2">
      <c r="A50" t="s">
        <v>47</v>
      </c>
      <c r="B50">
        <v>2.91</v>
      </c>
      <c r="C50">
        <v>3.39</v>
      </c>
      <c r="D50">
        <v>3.04</v>
      </c>
      <c r="E50">
        <v>4.21</v>
      </c>
      <c r="F50">
        <v>4.76</v>
      </c>
      <c r="G50">
        <v>4.2</v>
      </c>
      <c r="H50">
        <v>6.71</v>
      </c>
      <c r="I50">
        <v>7.59</v>
      </c>
      <c r="J50">
        <v>10.5</v>
      </c>
      <c r="K50">
        <v>8.98</v>
      </c>
      <c r="L50">
        <v>8.51</v>
      </c>
      <c r="M50">
        <v>10.94</v>
      </c>
      <c r="N50">
        <v>5.55</v>
      </c>
      <c r="O50">
        <v>5.4</v>
      </c>
      <c r="P50">
        <v>4.8899999999999997</v>
      </c>
      <c r="Q50">
        <v>3.6</v>
      </c>
      <c r="R50">
        <v>4.3</v>
      </c>
      <c r="S50">
        <v>5</v>
      </c>
      <c r="T50">
        <v>3.12</v>
      </c>
      <c r="U50">
        <v>2.4300000000000002</v>
      </c>
      <c r="V50">
        <v>3.21</v>
      </c>
      <c r="W50">
        <v>3.54</v>
      </c>
      <c r="X50">
        <v>3.04</v>
      </c>
      <c r="Y50">
        <v>2.35</v>
      </c>
      <c r="Z50">
        <v>3.76</v>
      </c>
      <c r="AA50">
        <v>6.02</v>
      </c>
      <c r="AB50">
        <v>4.25</v>
      </c>
      <c r="AC50">
        <v>3.93</v>
      </c>
      <c r="AD50" s="1">
        <f>IF(AC50="",AB50-$AD$53,AC50)</f>
        <v>3.93</v>
      </c>
    </row>
    <row r="51" spans="1:30" x14ac:dyDescent="0.2">
      <c r="A51" t="s">
        <v>48</v>
      </c>
      <c r="B51">
        <v>4.13</v>
      </c>
      <c r="C51">
        <v>3.78</v>
      </c>
      <c r="D51">
        <v>4.07</v>
      </c>
      <c r="E51">
        <v>5.47</v>
      </c>
      <c r="F51">
        <v>7.47</v>
      </c>
      <c r="G51">
        <v>5.23</v>
      </c>
      <c r="H51">
        <v>7.23</v>
      </c>
      <c r="I51">
        <v>7.92</v>
      </c>
      <c r="J51">
        <v>9.91</v>
      </c>
      <c r="K51">
        <v>9.4600000000000009</v>
      </c>
      <c r="L51">
        <v>9.6199999999999992</v>
      </c>
      <c r="M51">
        <v>10.57</v>
      </c>
      <c r="N51">
        <v>7.82</v>
      </c>
      <c r="O51">
        <v>7.56</v>
      </c>
      <c r="P51">
        <v>7.05</v>
      </c>
      <c r="Q51">
        <v>5.81</v>
      </c>
      <c r="R51">
        <v>6.02</v>
      </c>
      <c r="S51">
        <v>8.08</v>
      </c>
      <c r="T51">
        <v>5.65</v>
      </c>
      <c r="U51">
        <v>5.05</v>
      </c>
      <c r="V51">
        <v>5.34</v>
      </c>
      <c r="W51">
        <v>5.2</v>
      </c>
      <c r="X51">
        <v>5.0599999999999996</v>
      </c>
      <c r="Y51">
        <v>4.4400000000000004</v>
      </c>
      <c r="Z51">
        <v>6.98</v>
      </c>
      <c r="AA51">
        <v>8.5500000000000007</v>
      </c>
      <c r="AB51">
        <v>6.86</v>
      </c>
      <c r="AC51">
        <v>5.76</v>
      </c>
      <c r="AD51" s="1">
        <f>IF(AC51="",AB51-$AD$53,AC51)</f>
        <v>5.76</v>
      </c>
    </row>
    <row r="52" spans="1:30" x14ac:dyDescent="0.2">
      <c r="A52" t="s">
        <v>49</v>
      </c>
      <c r="B52">
        <v>3.49</v>
      </c>
      <c r="C52">
        <v>3.37</v>
      </c>
      <c r="D52">
        <v>3.3</v>
      </c>
      <c r="E52">
        <v>4.07</v>
      </c>
      <c r="F52">
        <v>6.33</v>
      </c>
      <c r="G52">
        <v>5.24</v>
      </c>
      <c r="H52">
        <v>5.34</v>
      </c>
      <c r="I52">
        <v>6.77</v>
      </c>
      <c r="J52">
        <v>8.26</v>
      </c>
      <c r="K52">
        <v>8.9</v>
      </c>
      <c r="L52">
        <v>6.61</v>
      </c>
      <c r="M52">
        <v>7.55</v>
      </c>
      <c r="N52">
        <v>5.79</v>
      </c>
      <c r="O52">
        <v>4.91</v>
      </c>
      <c r="P52">
        <v>5.57</v>
      </c>
      <c r="Q52">
        <v>4.87</v>
      </c>
      <c r="R52">
        <v>4.62</v>
      </c>
      <c r="S52">
        <v>5.89</v>
      </c>
      <c r="T52">
        <v>5.07</v>
      </c>
      <c r="U52">
        <v>3.96</v>
      </c>
      <c r="V52">
        <v>4.28</v>
      </c>
      <c r="W52">
        <v>3.92</v>
      </c>
      <c r="X52">
        <v>3.91</v>
      </c>
      <c r="Y52">
        <v>4.16</v>
      </c>
      <c r="Z52">
        <v>5.76</v>
      </c>
      <c r="AA52">
        <v>8.6</v>
      </c>
      <c r="AB52">
        <v>6.53</v>
      </c>
      <c r="AC52">
        <v>4.1399999999999997</v>
      </c>
      <c r="AD52" s="1">
        <f>IF(AC52="",AB52-$AD$53,AC52)</f>
        <v>4.1399999999999997</v>
      </c>
    </row>
    <row r="53" spans="1:30" x14ac:dyDescent="0.2">
      <c r="AB53">
        <f>AVERAGE(AB2:AB52)</f>
        <v>8.0976470588235294</v>
      </c>
      <c r="AC53">
        <f>AVERAGE(AC2:AC52)</f>
        <v>7.014186046511627</v>
      </c>
      <c r="AD53">
        <f>AB53-AC53</f>
        <v>1.0834610123119024</v>
      </c>
    </row>
  </sheetData>
  <autoFilter ref="A1:A52" xr:uid="{3A88D4E7-5461-4944-8901-3FA54EE76877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Brown</dc:creator>
  <cp:lastModifiedBy>Maxwell Brown</cp:lastModifiedBy>
  <dcterms:created xsi:type="dcterms:W3CDTF">2025-07-07T14:31:21Z</dcterms:created>
  <dcterms:modified xsi:type="dcterms:W3CDTF">2025-07-07T15:42:37Z</dcterms:modified>
</cp:coreProperties>
</file>